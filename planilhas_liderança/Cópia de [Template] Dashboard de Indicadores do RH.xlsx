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1. Turnover" sheetId="2" r:id="rId6"/>
    <sheet state="visible" name="2. Tempo de fechamento de vaga" sheetId="3" r:id="rId7"/>
    <sheet state="visible" name="3. Vagas fechadas no prazo" sheetId="4" r:id="rId8"/>
    <sheet state="visible" name="4. Custo de contratação por vag" sheetId="5" r:id="rId9"/>
    <sheet state="visible" name="5. eNPS" sheetId="6" r:id="rId10"/>
    <sheet state="visible" name="6. Retenção de talentos" sheetId="7" r:id="rId11"/>
    <sheet state="visible" name="7. Absenteísmo" sheetId="8" r:id="rId12"/>
    <sheet state="visible" name="8. Conversão por canal" sheetId="9" r:id="rId13"/>
    <sheet state="visible" name="9. Tempo para admissão" sheetId="10" r:id="rId14"/>
    <sheet state="visible" name="10. Adesão e abandono de treina" sheetId="11" r:id="rId15"/>
    <sheet state="visible" name="Impulsione o seu RH" sheetId="12" r:id="rId16"/>
  </sheets>
  <definedNames/>
  <calcPr/>
</workbook>
</file>

<file path=xl/sharedStrings.xml><?xml version="1.0" encoding="utf-8"?>
<sst xmlns="http://schemas.openxmlformats.org/spreadsheetml/2006/main" count="190" uniqueCount="142">
  <si>
    <t>Tempo de fechamento de vaga</t>
  </si>
  <si>
    <t>Dashboard de Indicadores de RH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</si>
  <si>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Preencha vagas de forma ágil com a Gupy</t>
    </r>
  </si>
  <si>
    <t>Turnover</t>
  </si>
  <si>
    <t>→ Otimize o seu RH com a Gupy!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</si>
  <si>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Aprenda a automatizar o processo de admissão</t>
    </r>
  </si>
  <si>
    <t>Vagas fechadas no prazo</t>
  </si>
  <si>
    <r>
      <rPr>
        <rFont val="Inter"/>
        <color rgb="FFFFFFFF"/>
        <sz val="12.0"/>
      </rPr>
      <t xml:space="preserve">→ </t>
    </r>
    <r>
      <rPr>
        <rFont val="Inter"/>
        <color rgb="FFFFFFFF"/>
        <sz val="12.0"/>
        <u/>
      </rPr>
      <t>Otimize suas contratações com a Gupy</t>
    </r>
  </si>
  <si>
    <t>Período de análise:</t>
  </si>
  <si>
    <t>De</t>
  </si>
  <si>
    <t>Até</t>
  </si>
  <si>
    <t>Tempo gasto (em horas)</t>
  </si>
  <si>
    <t>1. Instruções</t>
  </si>
  <si>
    <t>Admissões no período</t>
  </si>
  <si>
    <t>Vagas em atraso</t>
  </si>
  <si>
    <t>Total de vagas fechadas</t>
  </si>
  <si>
    <t>Total de vagas abertas</t>
  </si>
  <si>
    <t>Desligamentos no período</t>
  </si>
  <si>
    <r>
      <rPr>
        <rFont val="Inter"/>
        <color rgb="FF010B21"/>
      </rPr>
      <t xml:space="preserve">Boas-vindas ao </t>
    </r>
    <r>
      <rPr>
        <rFont val="Inter"/>
        <color rgb="FF1666DB"/>
      </rPr>
      <t>Dashboard de Indicadores de RH da Gupy</t>
    </r>
    <r>
      <rPr>
        <rFont val="Inter"/>
        <color rgb="FF010B21"/>
      </rPr>
      <t>! Com ele, você vai conseguir acessar os principais indicadores de Recursos Humanos da sua empresa. Confira!</t>
    </r>
  </si>
  <si>
    <t>Meta</t>
  </si>
  <si>
    <t>Das vagas dentro do prazo</t>
  </si>
  <si>
    <t>Horas por vaga</t>
  </si>
  <si>
    <t>2. Indicadores</t>
  </si>
  <si>
    <r>
      <rPr>
        <rFont val="Roboto"/>
        <color theme="1"/>
      </rPr>
      <t xml:space="preserve">Cada aba da planilha possui um indicador. No fim de cada aba, existe uma breve descrição sobre o indicador: como funciona, por que é importante e materiais de apoio.
As caixas em </t>
    </r>
    <r>
      <rPr>
        <rFont val="Roboto"/>
        <b/>
        <color rgb="FF66E0DC"/>
      </rPr>
      <t>azul</t>
    </r>
    <r>
      <rPr>
        <rFont val="Roboto"/>
        <b/>
        <color theme="1"/>
      </rPr>
      <t xml:space="preserve"> </t>
    </r>
    <r>
      <rPr>
        <rFont val="Roboto"/>
        <color theme="1"/>
      </rPr>
      <t xml:space="preserve">são os espaços para você inserir suas métricas, já a caixa em </t>
    </r>
    <r>
      <rPr>
        <rFont val="Roboto"/>
        <b/>
        <color rgb="FFA0CD60"/>
      </rPr>
      <t>verde</t>
    </r>
    <r>
      <rPr>
        <rFont val="Roboto"/>
        <b/>
        <color theme="1"/>
      </rPr>
      <t xml:space="preserve"> </t>
    </r>
    <r>
      <rPr>
        <rFont val="Roboto"/>
        <color theme="1"/>
      </rPr>
      <t>é o resultado, ou seja, o indicador.</t>
    </r>
  </si>
  <si>
    <t>Tempo de fechamento por vaga</t>
  </si>
  <si>
    <t>Taxa de turnover</t>
  </si>
  <si>
    <t xml:space="preserve">3. Lista de Indicadores </t>
  </si>
  <si>
    <t>Neste dashboard você encontrará os seguintes indicadores de RH: 
1. Turnover;
2. Tempo de fechamento de vaga;
3. Vagas fechadas no prazo;
4. Custo de contratação por vaga; 
5. eNPS;
6. Retenção de talentos;
7. Absenteísmo;
8. Conversão por canal;
9. Tempo para admissão;
10. Taxa de adesão e abandono de treinamento.</t>
  </si>
  <si>
    <t>Taxa de vagas dentro do prazo</t>
  </si>
  <si>
    <t>4. Contrate a pessoa candidata certa para o seu negócio</t>
  </si>
  <si>
    <t>No final, selecionamos dois materiais gratuitos que vão ajudar a otimizar os seus processos recrutamento, seleção e admissão. Além disso, separamos um espaço para você conhecer o ecossistema da Gupy e tudo que ele pode fazer pela sua empresa. Aproveite!</t>
  </si>
  <si>
    <t>Lembre-se: a planilha contém fórmulas que, se alteradas, afetarão no seu funcionamento.</t>
  </si>
  <si>
    <r>
      <rPr>
        <rFont val="Inter"/>
        <color theme="1"/>
        <sz val="15.0"/>
      </rPr>
      <t xml:space="preserve">horas investidas em </t>
    </r>
    <r>
      <rPr>
        <rFont val="Inter"/>
        <b/>
        <color theme="1"/>
        <sz val="15.0"/>
      </rPr>
      <t>cada</t>
    </r>
    <r>
      <rPr>
        <rFont val="Inter"/>
        <color theme="1"/>
        <sz val="15.0"/>
      </rPr>
      <t xml:space="preserve"> vaga</t>
    </r>
  </si>
  <si>
    <t>Sobre vagas fechadas no prazo</t>
  </si>
  <si>
    <t>Sobre o tempo de fechamento de vaga</t>
  </si>
  <si>
    <r>
      <rPr>
        <rFont val="Inter"/>
        <color theme="1"/>
      </rPr>
      <t xml:space="preserve">O </t>
    </r>
    <r>
      <rPr>
        <rFont val="Inter"/>
        <b/>
        <color theme="1"/>
      </rPr>
      <t>tempo de fechamento de vaga</t>
    </r>
    <r>
      <rPr>
        <rFont val="Inter"/>
        <color theme="1"/>
      </rPr>
      <t xml:space="preserve"> mostra a eficiência do seu processo de recrutamento, seleção e admissão. Muitas horas investidas na mesma vaga é sinal de alerta! Às vezes as ferramentas utilizadas são ultrapassadas e dificultam o trabalho do recrutador. Ou, por outro lado, a vaga possui grande complexidade e, de fato, demandará mais tempo. Quando o RH possui esse indicador em mãos, consegue mais facilmente projetar o tempo estimado do fechamento de cada vaga.</t>
    </r>
  </si>
  <si>
    <t>Total de funcionários</t>
  </si>
  <si>
    <r>
      <rPr>
        <rFont val="Inter"/>
        <color theme="1"/>
      </rPr>
      <t xml:space="preserve">O indicador de </t>
    </r>
    <r>
      <rPr>
        <rFont val="Inter"/>
        <b/>
        <color theme="1"/>
      </rPr>
      <t>vagas fechadas no prazo</t>
    </r>
    <r>
      <rPr>
        <rFont val="Inter"/>
        <color theme="1"/>
      </rPr>
      <t xml:space="preserve"> demonstra, como o indicador anterior, a agilidade de todo o processo de R&amp;S e admissão. Uma taxa de vagas dentro do prazo é um bom sinal: seu recrutamento é produtivo e quase sempre está dentro do prazo. Do contrário, uma taxa baixa é sinal claro de problemas no processo ou produtividade da equipe.</t>
    </r>
  </si>
  <si>
    <t>Histórico</t>
  </si>
  <si>
    <t>Janeiro</t>
  </si>
  <si>
    <t>Feveriro</t>
  </si>
  <si>
    <t>Março</t>
  </si>
  <si>
    <t>Abril</t>
  </si>
  <si>
    <t>Maio</t>
  </si>
  <si>
    <t>Junho</t>
  </si>
  <si>
    <t>Custo de contratação por vaga</t>
  </si>
  <si>
    <t>eNPS</t>
  </si>
  <si>
    <r>
      <rPr>
        <rFont val="Inter"/>
        <color rgb="FFFFFFFF"/>
        <sz val="12.0"/>
      </rPr>
      <t xml:space="preserve">→ </t>
    </r>
    <r>
      <rPr>
        <rFont val="Inter"/>
        <color rgb="FFFFFFFF"/>
        <sz val="12.0"/>
        <u/>
      </rPr>
      <t>Torne o seu RH mais estratégico com a Gupy</t>
    </r>
  </si>
  <si>
    <t>Julho</t>
  </si>
  <si>
    <t>Agosto</t>
  </si>
  <si>
    <t>Setembro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</si>
  <si>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Conheça a Pulses, solução de clima e engajamento</t>
    </r>
  </si>
  <si>
    <t>Sobre o turnover</t>
  </si>
  <si>
    <t>Outubro</t>
  </si>
  <si>
    <t>Novembro</t>
  </si>
  <si>
    <t>Dezembro</t>
  </si>
  <si>
    <t>Retenção de talentos</t>
  </si>
  <si>
    <r>
      <rPr>
        <rFont val="Inter"/>
      </rPr>
      <t xml:space="preserve">
O </t>
    </r>
    <r>
      <rPr>
        <rFont val="Inter"/>
        <b/>
      </rPr>
      <t>turnover</t>
    </r>
    <r>
      <rPr>
        <rFont val="Inter"/>
      </rPr>
      <t xml:space="preserve"> é o indicador que demonstra a rotatividade de funcionários numa empresa. Não existe uma média ideal, mas você pode utilizar uma taxa de 10% de turnover anual como ponto de partida para comparação. 
Existem algumas formas de medir o turnover, a mais comum é somando as admissões com os desligamentos, depois dividindo pelo número total de funcionários (como na fórmula acima). Você pode aprender mais sobre o assunto a partir desse </t>
    </r>
    <r>
      <rPr>
        <rFont val="Inter"/>
        <color rgb="FF1155CC"/>
        <u/>
      </rPr>
      <t>e-book</t>
    </r>
    <r>
      <rPr>
        <rFont val="Inter"/>
      </rPr>
      <t xml:space="preserve">.
</t>
    </r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</si>
  <si>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Aprenda estratégias para melhorar a retenção de talentos</t>
    </r>
  </si>
  <si>
    <t>Custo Total</t>
  </si>
  <si>
    <t>Vagas fechadas</t>
  </si>
  <si>
    <t>Por vaga fechada</t>
  </si>
  <si>
    <t>Total de detratores</t>
  </si>
  <si>
    <t>Pedidos de desligamento</t>
  </si>
  <si>
    <t>Total de promotores</t>
  </si>
  <si>
    <t>Taxa de retenção</t>
  </si>
  <si>
    <t>Custo por vaga fechada</t>
  </si>
  <si>
    <t>[Planilha] Quanto custa o Turnover da sua empresa?</t>
  </si>
  <si>
    <t>Sobre custo de contratação por vaga</t>
  </si>
  <si>
    <t>Total de respondentes</t>
  </si>
  <si>
    <t>De retenção</t>
  </si>
  <si>
    <t>De eNPS</t>
  </si>
  <si>
    <r>
      <rPr>
        <rFont val="Inter"/>
        <b/>
      </rPr>
      <t>Custo de contratação por vaga</t>
    </r>
    <r>
      <rPr>
        <rFont val="Inter"/>
      </rPr>
      <t xml:space="preserve"> mostra quanto sua empresa está investindo por cada vaga fechada. Esse indicador ajuda o RH a ter uma visão do impacto do setor na saúde financeira da empresa. Orientar ações para aprimoração desse indicador ajudará não apenas o RH a fazer mais com menos, mas também para o "caixa" da empresa. Saiba como você pode reduzir os custos de contratação da sua empresa </t>
    </r>
    <r>
      <rPr>
        <rFont val="Inter"/>
        <color rgb="FF1155CC"/>
        <u/>
      </rPr>
      <t>nesse artigo</t>
    </r>
    <r>
      <rPr>
        <rFont val="Inter"/>
      </rPr>
      <t>!</t>
    </r>
  </si>
  <si>
    <t>Sobre eNPS</t>
  </si>
  <si>
    <t>Sobre retenção de talentos</t>
  </si>
  <si>
    <r>
      <rPr>
        <rFont val="Inter"/>
        <b/>
        <color theme="1"/>
      </rPr>
      <t>eNPS</t>
    </r>
    <r>
      <rPr>
        <rFont val="Inter"/>
        <color theme="1"/>
      </rPr>
      <t xml:space="preserve"> é a sigla para </t>
    </r>
    <r>
      <rPr>
        <rFont val="Inter"/>
        <i/>
        <color theme="1"/>
      </rPr>
      <t>Employee Net Promoter Score</t>
    </r>
    <r>
      <rPr>
        <rFont val="Inter"/>
        <color theme="1"/>
      </rPr>
      <t>, uma avaliação com candidatos ou colaboradores que fornecerá uma visão de detratores, neutros e promotores da sua marca empregadora. Esse indicador ajuda a mensurar a satisfação dos candidatos com seu processo seletivo, ou dos colaboradores com a empresa. Para chegar em um número de eNPS, antes é preciso executar uma pesquisa com perguntas bem simples. O material abaixo vai te auxiliar nisso:</t>
    </r>
  </si>
  <si>
    <r>
      <rPr>
        <rFont val="Inter"/>
        <color theme="1"/>
      </rPr>
      <t xml:space="preserve">Tão importante quanto contratar é </t>
    </r>
    <r>
      <rPr>
        <rFont val="Inter"/>
        <b/>
        <color theme="1"/>
      </rPr>
      <t>reter talentos</t>
    </r>
    <r>
      <rPr>
        <rFont val="Inter"/>
        <color theme="1"/>
      </rPr>
      <t>. Esse indicador, de maneira simples, objetiva e útil, ajuda você a entender a taxa de retenção de talentos na sua empresa. Uma retenção baixa pode representar muitas coisas, como: benefícios ruins, falta de objetivos, salário abaixo do mercado, entre outros. Por isso, alinhe o indicador de retenção com o de eNPS para entender as suas dores (e também pontos fortes).</t>
    </r>
  </si>
  <si>
    <t>[Planilha] Você sabe como avaliar a experiência dos candidatos com a Pesquisa NPS?</t>
  </si>
  <si>
    <t>Fevereiro</t>
  </si>
  <si>
    <t>-</t>
  </si>
  <si>
    <t>Absenteísmo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</si>
  <si>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Conheça o ecossistema de RH Gupy</t>
    </r>
  </si>
  <si>
    <t>Taxa de conversão por canal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</si>
  <si>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Confira dicas para anunciar vagas de forma estratégica</t>
    </r>
  </si>
  <si>
    <t>Taxa de adesão e abandono de treinamento</t>
  </si>
  <si>
    <t>Tempo para admissão</t>
  </si>
  <si>
    <r>
      <rPr>
        <rFont val="Inter"/>
        <color theme="0"/>
        <sz val="12.0"/>
      </rPr>
      <t xml:space="preserve">→ </t>
    </r>
    <r>
      <rPr>
        <rFont val="Inter"/>
        <color theme="0"/>
        <sz val="12.0"/>
        <u/>
      </rPr>
      <t>Assista esse webinar para melhorar o seu T&amp;D</t>
    </r>
  </si>
  <si>
    <r>
      <rPr>
        <rFont val="Inter"/>
        <color rgb="FFFFFFFF"/>
        <sz val="12.0"/>
      </rPr>
      <t xml:space="preserve">→ </t>
    </r>
    <r>
      <rPr>
        <rFont val="Inter"/>
        <color rgb="FFFFFFFF"/>
        <sz val="12.0"/>
        <u/>
      </rPr>
      <t>Otimize suas contratações com a Gupy</t>
    </r>
  </si>
  <si>
    <t>Absenteísmo - Bradford Factor</t>
  </si>
  <si>
    <t>Canal</t>
  </si>
  <si>
    <t>Visitas</t>
  </si>
  <si>
    <t>Contratações</t>
  </si>
  <si>
    <t>Taxa</t>
  </si>
  <si>
    <r>
      <rPr>
        <rFont val="Inter"/>
        <b/>
        <color rgb="FFFFFFFF"/>
        <sz val="11.0"/>
      </rPr>
      <t xml:space="preserve">Taxa geral
</t>
    </r>
    <r>
      <rPr>
        <rFont val="Inter"/>
        <b val="0"/>
        <color rgb="FFFFFFFF"/>
        <sz val="7.0"/>
      </rPr>
      <t>(contratação X nº total de visitas)</t>
    </r>
  </si>
  <si>
    <t>Sobre Bradford Factor</t>
  </si>
  <si>
    <t>LinkedIn</t>
  </si>
  <si>
    <t>Nº de colaboradores que precisam de treinamento</t>
  </si>
  <si>
    <r>
      <rPr>
        <rFont val="Inter"/>
      </rPr>
      <t xml:space="preserve">A fórmula Bradford Factor demonstra o absenteísmo com base nos períodos ausentes e dias ausentes. Essa é a forma, considerada por muitos, mais justa de avaliar o absenteísmo. Leia mais sobre </t>
    </r>
    <r>
      <rPr>
        <rFont val="Inter"/>
        <color rgb="FF1155CC"/>
        <u/>
      </rPr>
      <t>nesse artigo</t>
    </r>
    <r>
      <rPr>
        <rFont val="Inter"/>
      </rPr>
      <t xml:space="preserve">. </t>
    </r>
  </si>
  <si>
    <t>Facebook</t>
  </si>
  <si>
    <t>Nº de colaboradores que iniciaram</t>
  </si>
  <si>
    <t>Vaga</t>
  </si>
  <si>
    <t>Taxa de início</t>
  </si>
  <si>
    <t>Instagram</t>
  </si>
  <si>
    <t>A vaga foi aberta no dia</t>
  </si>
  <si>
    <t>Nº de colaboradores que finalizaram</t>
  </si>
  <si>
    <t>Google</t>
  </si>
  <si>
    <t>Taxa de conclusão</t>
  </si>
  <si>
    <t>A proposta foi aceita no dia</t>
  </si>
  <si>
    <t>Períodos ausentes</t>
  </si>
  <si>
    <t>Nº total de vistas</t>
  </si>
  <si>
    <t>Nº total de contratações</t>
  </si>
  <si>
    <t>Taxa total</t>
  </si>
  <si>
    <t>BradFord Factor</t>
  </si>
  <si>
    <t>Analista de Marketing Pleno</t>
  </si>
  <si>
    <t>Sobre a taxa de conversão por canal</t>
  </si>
  <si>
    <t>Vendedor(a)</t>
  </si>
  <si>
    <t>Dias ausentes</t>
  </si>
  <si>
    <t>Estagiário de Eventos</t>
  </si>
  <si>
    <r>
      <rPr>
        <rFont val="Inter"/>
        <color theme="1"/>
      </rPr>
      <t xml:space="preserve">A estratégia de Recrutamento e Seleção torna-se mais eficiente conforme conhecemos os canais que trazem melhores resultados. Dessa maneira, a </t>
    </r>
    <r>
      <rPr>
        <rFont val="Inter"/>
        <b/>
        <color theme="1"/>
      </rPr>
      <t>Taxa de conversão</t>
    </r>
    <r>
      <rPr>
        <rFont val="Inter"/>
        <color theme="1"/>
      </rPr>
      <t xml:space="preserve"> </t>
    </r>
    <r>
      <rPr>
        <rFont val="Inter"/>
        <b/>
        <color theme="1"/>
      </rPr>
      <t xml:space="preserve">por canal </t>
    </r>
    <r>
      <rPr>
        <rFont val="Inter"/>
        <color theme="1"/>
      </rPr>
      <t>ajuda você a entender quais canais convertem mais candidatos em pessoas colaboradoras.</t>
    </r>
  </si>
  <si>
    <t>Sobre Taxa de adesão e abandono de treinamento</t>
  </si>
  <si>
    <t>Contador</t>
  </si>
  <si>
    <t>Social Media</t>
  </si>
  <si>
    <r>
      <rPr>
        <rFont val="Inter"/>
        <color theme="1"/>
      </rPr>
      <t xml:space="preserve">O treinamento é uma das formas mais efetivas de desenvolver habilidades e competências necessárias para os colaboradores. E para maior eficiência, é necessário acompanhar o progresso das pessoas colaboradoras dentro dos treinamentos disponibilizados. O indicador de </t>
    </r>
    <r>
      <rPr>
        <rFont val="Inter"/>
        <b/>
        <color theme="1"/>
      </rPr>
      <t xml:space="preserve">Taxa de adesão e abandono </t>
    </r>
    <r>
      <rPr>
        <rFont val="Inter"/>
        <color theme="1"/>
      </rPr>
      <t>ajuda nisso</t>
    </r>
    <r>
      <rPr>
        <rFont val="Inter"/>
        <b/>
        <color theme="1"/>
      </rPr>
      <t>.</t>
    </r>
  </si>
  <si>
    <t>Analista de Treinamento</t>
  </si>
  <si>
    <r>
      <rPr>
        <rFont val="Inter"/>
        <b/>
        <color theme="1"/>
      </rPr>
      <t>Taxa de início</t>
    </r>
    <r>
      <rPr>
        <rFont val="Inter"/>
        <color theme="1"/>
      </rPr>
      <t xml:space="preserve">: quantas pessoas deram início ao treinamento.
</t>
    </r>
    <r>
      <rPr>
        <rFont val="Inter"/>
        <b/>
        <color theme="1"/>
      </rPr>
      <t>Taxa de conclusão</t>
    </r>
    <r>
      <rPr>
        <rFont val="Inter"/>
        <color theme="1"/>
      </rPr>
      <t>: quantas pessoas de fato concluíram todo o treinamento.</t>
    </r>
  </si>
  <si>
    <t>Recrutador Pleno</t>
  </si>
  <si>
    <t>Absenteísmo - Faltas vs Dias trabalhados</t>
  </si>
  <si>
    <t>Sobre a taxa de absenteísmo</t>
  </si>
  <si>
    <t>EM MÉDIA, OS CANDIDATOS SÃO ADMITIDOS EM</t>
  </si>
  <si>
    <r>
      <rPr>
        <rFont val="Inter"/>
        <color theme="1"/>
      </rPr>
      <t xml:space="preserve">A </t>
    </r>
    <r>
      <rPr>
        <rFont val="Inter"/>
        <b/>
        <color theme="1"/>
      </rPr>
      <t xml:space="preserve">taxa de absenteísmo </t>
    </r>
    <r>
      <rPr>
        <rFont val="Inter"/>
        <color theme="1"/>
      </rPr>
      <t>mostra, com base nas horas perdidas divididas pelas horas totais da semana, mês ou período de análise, qual é a taxa de faltas de uma pessoa colaboradora.</t>
    </r>
  </si>
  <si>
    <t>DIAS</t>
  </si>
  <si>
    <t>Horas perdidas</t>
  </si>
  <si>
    <t>Taxa de absenteísmo</t>
  </si>
  <si>
    <t>Sobre tempo para admissão</t>
  </si>
  <si>
    <t>Conheça o ecossistema de produtos para RH da Gupy</t>
  </si>
  <si>
    <r>
      <rPr>
        <rFont val="Inter"/>
        <color theme="1"/>
      </rPr>
      <t xml:space="preserve">Também conhecido como </t>
    </r>
    <r>
      <rPr>
        <rFont val="Inter"/>
        <i/>
        <color theme="1"/>
      </rPr>
      <t>Time to Fill</t>
    </r>
    <r>
      <rPr>
        <rFont val="Inter"/>
        <color theme="1"/>
      </rPr>
      <t xml:space="preserve">, o indicador de </t>
    </r>
    <r>
      <rPr>
        <rFont val="Inter"/>
        <b/>
        <color theme="1"/>
      </rPr>
      <t>Tempo para admissão</t>
    </r>
    <r>
      <rPr>
        <rFont val="Inter"/>
        <color theme="1"/>
      </rPr>
      <t xml:space="preserve"> mostra quanto tempo leva da abertura da vaga até a efetivação da admissão. Ter esse número em mãos ajuda a planejar novas contratações dentro do tempo hábil, e também a entender quais cargos levam mais tempo para contratação. </t>
    </r>
  </si>
  <si>
    <r>
      <rPr>
        <rFont val="Inter"/>
        <color theme="1"/>
        <sz val="12.0"/>
      </rPr>
      <t xml:space="preserve">Na Gupy, você encontra um </t>
    </r>
    <r>
      <rPr>
        <rFont val="Inter"/>
        <color rgb="FF4285F4"/>
        <sz val="12.0"/>
      </rPr>
      <t>ecossistema completo de soluções para o seu time de RH</t>
    </r>
    <r>
      <rPr>
        <rFont val="Inter"/>
        <color theme="1"/>
        <sz val="12.0"/>
      </rPr>
      <t xml:space="preserve">. Do recrutamento à admissão de pessoas colaboradoras, até a retenção, treinamento, desenvolvimento e engajamento desses talentos.
Com o ecossistema da Gupy, </t>
    </r>
    <r>
      <rPr>
        <rFont val="Inter"/>
        <color rgb="FF4285F4"/>
        <sz val="12.0"/>
      </rPr>
      <t>o RH pode deixar de lado as planilhas, a papelada e a burocracia, automatizando processos, usando a Inteligência Artificial ao seu favor e focando seu tempo para trabalhar de forma mais estratégica</t>
    </r>
    <r>
      <rPr>
        <rFont val="Inter"/>
        <color theme="1"/>
        <sz val="12.0"/>
      </rPr>
      <t xml:space="preserve">, impactando toda a organização.
Clique no botão abaixo para entender como a Gupy pode levar a </t>
    </r>
    <r>
      <rPr>
        <rFont val="Inter"/>
        <color rgb="FF4285F4"/>
        <sz val="12.0"/>
      </rPr>
      <t>transformação digital da sua empresa para o próximo nível</t>
    </r>
    <r>
      <rPr>
        <rFont val="Inter"/>
        <color theme="1"/>
        <sz val="12.0"/>
      </rPr>
      <t>:</t>
    </r>
  </si>
  <si>
    <t>Horas totais</t>
  </si>
  <si>
    <t>Quero conhecer a Gupy ←</t>
  </si>
  <si>
    <t>Confira esses outros materiais para ajudar o seu time de RH:</t>
  </si>
  <si>
    <t>Kit de planilhas para RH e DP</t>
  </si>
  <si>
    <t>E-book indicadores de recrutamento na Gupy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</si>
</sst>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/MM/yyyy"/>
  </numFmts>
  <fonts count="45">
    <font>
      <sz val="10.0"/>
      <color rgb="FF000000"/>
      <name val="Arial"/>
      <scheme val="minor"/>
    </font>
    <font>
      <color theme="1"/>
      <name val="Inter"/>
    </font>
    <font>
      <b/>
      <sz val="18.0"/>
      <color rgb="FFFFFFFF"/>
      <name val="Spectral"/>
    </font>
    <font/>
    <font>
      <b/>
      <sz val="18.0"/>
      <color rgb="FFFFFFFF"/>
      <name val="Inter"/>
    </font>
    <font>
      <b/>
      <sz val="18.0"/>
      <color rgb="FFF3F3F3"/>
      <name val="Inter"/>
    </font>
    <font>
      <b/>
      <sz val="18.0"/>
      <color rgb="FFEFEFEF"/>
      <name val="Inter"/>
    </font>
    <font>
      <sz val="12.0"/>
      <color rgb="FFFFFFFF"/>
      <name val="Inter"/>
    </font>
    <font>
      <sz val="12.0"/>
      <color rgb="FFEFEFEF"/>
      <name val="Inter"/>
    </font>
    <font>
      <u/>
      <sz val="13.0"/>
      <color theme="0"/>
      <name val="Inter"/>
    </font>
    <font>
      <b/>
      <sz val="10.0"/>
      <color theme="1"/>
      <name val="Inter"/>
    </font>
    <font>
      <b/>
      <sz val="15.0"/>
      <color theme="0"/>
      <name val="Spectral"/>
    </font>
    <font>
      <b/>
      <color theme="1"/>
      <name val="Inter"/>
    </font>
    <font>
      <sz val="12.0"/>
      <color theme="1"/>
      <name val="Inter"/>
    </font>
    <font>
      <b/>
      <sz val="12.0"/>
      <color theme="1"/>
      <name val="Inter"/>
    </font>
    <font>
      <sz val="14.0"/>
      <color rgb="FFEFEFEF"/>
      <name val="Inter"/>
    </font>
    <font>
      <b/>
      <color rgb="FF010B21"/>
      <name val="Inter"/>
    </font>
    <font>
      <color rgb="FF010B21"/>
      <name val="Inter"/>
    </font>
    <font>
      <color rgb="FFA0CD60"/>
      <name val="Arial"/>
      <scheme val="minor"/>
    </font>
    <font>
      <color theme="1"/>
      <name val="Arial"/>
      <scheme val="minor"/>
    </font>
    <font>
      <sz val="18.0"/>
      <color theme="1"/>
      <name val="Inter"/>
    </font>
    <font>
      <color theme="1"/>
      <name val="Roboto"/>
    </font>
    <font>
      <sz val="11.0"/>
      <color theme="1"/>
      <name val="Inter"/>
    </font>
    <font>
      <i/>
      <color rgb="FF1666DB"/>
      <name val="Inter"/>
    </font>
    <font>
      <sz val="15.0"/>
      <color theme="1"/>
      <name val="Inter"/>
    </font>
    <font>
      <b/>
      <color rgb="FFF3F3F3"/>
      <name val="Inter"/>
    </font>
    <font>
      <sz val="11.0"/>
      <color rgb="FF000000"/>
      <name val="Inter"/>
    </font>
    <font>
      <sz val="12.0"/>
      <color theme="0"/>
      <name val="Inter"/>
    </font>
    <font>
      <u/>
      <color rgb="FF0000FF"/>
      <name val="Inter"/>
    </font>
    <font>
      <b/>
      <u/>
      <color rgb="FFFFFFFF"/>
      <name val="Inter"/>
    </font>
    <font>
      <b/>
      <u/>
      <color rgb="FFF3F3F3"/>
      <name val="Inter"/>
    </font>
    <font>
      <b/>
      <sz val="11.0"/>
      <color theme="1"/>
      <name val="Inter"/>
    </font>
    <font>
      <b/>
      <sz val="11.0"/>
      <color rgb="FFFFFFFF"/>
      <name val="Inter"/>
    </font>
    <font>
      <b/>
      <color rgb="FFFFFFFF"/>
      <name val="Inter"/>
    </font>
    <font>
      <u/>
      <color rgb="FF0000FF"/>
      <name val="Inter"/>
    </font>
    <font>
      <sz val="9.0"/>
      <color theme="1"/>
      <name val="Inter"/>
    </font>
    <font>
      <b/>
      <sz val="9.0"/>
      <color theme="1"/>
      <name val="Inter"/>
    </font>
    <font>
      <u/>
      <color rgb="FF1155CC"/>
      <name val="Arial"/>
      <scheme val="minor"/>
    </font>
    <font>
      <u/>
      <color rgb="FFFFFFFF"/>
      <name val="Arial"/>
      <scheme val="minor"/>
    </font>
    <font>
      <b/>
      <sz val="15.0"/>
      <color rgb="FFEFEFEF"/>
      <name val="Inter"/>
    </font>
    <font>
      <b/>
      <u/>
      <sz val="16.0"/>
      <color rgb="FFFFFFFF"/>
      <name val="Inter"/>
    </font>
    <font>
      <b/>
      <sz val="18.0"/>
      <color theme="1"/>
      <name val="Inter"/>
    </font>
    <font>
      <u/>
      <color rgb="FF1155CC"/>
      <name val="Arial"/>
      <scheme val="minor"/>
    </font>
    <font>
      <u/>
      <color theme="0"/>
    </font>
    <font>
      <u/>
      <color theme="0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10B21"/>
        <bgColor rgb="FF010B21"/>
      </patternFill>
    </fill>
    <fill>
      <patternFill patternType="solid">
        <fgColor rgb="FF1666DB"/>
        <bgColor rgb="FF1666DB"/>
      </patternFill>
    </fill>
    <fill>
      <patternFill patternType="solid">
        <fgColor rgb="FFEB7363"/>
        <bgColor rgb="FFEB736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66E0DC"/>
        <bgColor rgb="FF66E0DC"/>
      </patternFill>
    </fill>
    <fill>
      <patternFill patternType="solid">
        <fgColor rgb="FFFF6D01"/>
        <bgColor rgb="FFFF6D01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A0CD60"/>
        <bgColor rgb="FFA0CD6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</fills>
  <borders count="17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010B21"/>
      </left>
      <top style="thin">
        <color rgb="FF010B21"/>
      </top>
    </border>
    <border>
      <top style="thin">
        <color rgb="FF010B21"/>
      </top>
    </border>
    <border>
      <left style="thin">
        <color rgb="FFFFFFFF"/>
      </left>
    </border>
    <border>
      <right style="thin">
        <color rgb="FF010B21"/>
      </right>
      <top style="thin">
        <color rgb="FF010B21"/>
      </top>
    </border>
    <border>
      <left style="medium">
        <color rgb="FF010B21"/>
      </left>
      <top style="medium">
        <color rgb="FF010B21"/>
      </top>
    </border>
    <border>
      <top style="medium">
        <color rgb="FF010B21"/>
      </top>
    </border>
    <border>
      <right style="thin">
        <color rgb="FFFFFFFF"/>
      </right>
      <top style="thin">
        <color rgb="FFFFFFFF"/>
      </top>
    </border>
    <border>
      <right style="medium">
        <color rgb="FF010B21"/>
      </right>
      <top style="medium">
        <color rgb="FF010B21"/>
      </top>
    </border>
    <border>
      <left style="thin">
        <color rgb="FFFFFFFF"/>
      </left>
      <right style="thin">
        <color rgb="FFFFFFFF"/>
      </right>
    </border>
    <border>
      <left style="thin">
        <color rgb="FF1666DB"/>
      </left>
      <top style="thin">
        <color rgb="FF1666DB"/>
      </top>
    </border>
    <border>
      <right style="thin">
        <color rgb="FF1666DB"/>
      </right>
      <top style="thin">
        <color rgb="FF1666DB"/>
      </top>
    </border>
    <border>
      <left style="thin">
        <color rgb="FF010B21"/>
      </left>
    </border>
    <border>
      <right style="thin">
        <color rgb="FF010B21"/>
      </right>
    </border>
    <border>
      <left style="thin">
        <color rgb="FF1666DB"/>
      </left>
    </border>
    <border>
      <right style="thin">
        <color rgb="FF1666DB"/>
      </right>
    </border>
    <border>
      <left style="thin">
        <color rgb="FF010B21"/>
      </left>
      <bottom style="thin">
        <color rgb="FF010B21"/>
      </bottom>
    </border>
    <border>
      <bottom style="thin">
        <color rgb="FF010B21"/>
      </bottom>
    </border>
    <border>
      <left style="medium">
        <color rgb="FF1666DB"/>
      </left>
      <top style="medium">
        <color rgb="FF1666DB"/>
      </top>
    </border>
    <border>
      <right style="thin">
        <color rgb="FF010B21"/>
      </right>
      <bottom style="thin">
        <color rgb="FF010B21"/>
      </bottom>
    </border>
    <border>
      <top style="medium">
        <color rgb="FF1666DB"/>
      </top>
    </border>
    <border>
      <left style="thin">
        <color rgb="FF1666DB"/>
      </left>
      <bottom style="thin">
        <color rgb="FF1666DB"/>
      </bottom>
    </border>
    <border>
      <right style="thin">
        <color rgb="FF1666DB"/>
      </right>
      <bottom style="thin">
        <color rgb="FF1666DB"/>
      </bottom>
    </border>
    <border>
      <right style="medium">
        <color rgb="FF1666DB"/>
      </right>
      <top style="medium">
        <color rgb="FF1666DB"/>
      </top>
    </border>
    <border>
      <left style="thin">
        <color rgb="FFEB7363"/>
      </left>
      <top style="thin">
        <color rgb="FFEB7363"/>
      </top>
    </border>
    <border>
      <left style="thin">
        <color rgb="FFEA9999"/>
      </left>
      <top style="thin">
        <color rgb="FFEA9999"/>
      </top>
      <bottom style="thin">
        <color rgb="FFEA9999"/>
      </bottom>
    </border>
    <border>
      <top style="thin">
        <color rgb="FFEA9999"/>
      </top>
      <bottom style="thin">
        <color rgb="FFEA9999"/>
      </bottom>
    </border>
    <border>
      <right style="thin">
        <color rgb="FFEA9999"/>
      </right>
      <top style="thin">
        <color rgb="FFEA9999"/>
      </top>
      <bottom style="thin">
        <color rgb="FFEA9999"/>
      </bottom>
    </border>
    <border>
      <left style="medium">
        <color rgb="FF010B21"/>
      </left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EB7363"/>
      </left>
      <bottom style="thin">
        <color rgb="FFEB7363"/>
      </bottom>
    </border>
    <border>
      <right style="medium">
        <color rgb="FF010B21"/>
      </right>
    </border>
    <border>
      <left style="medium">
        <color rgb="FF1666DB"/>
      </left>
    </border>
    <border>
      <right style="medium">
        <color rgb="FF1666DB"/>
      </right>
    </border>
    <border>
      <right style="thin">
        <color rgb="FFFFFFFF"/>
      </right>
    </border>
    <border>
      <left style="medium">
        <color rgb="FF010B21"/>
      </left>
      <bottom style="medium">
        <color rgb="FF010B21"/>
      </bottom>
    </border>
    <border>
      <bottom style="medium">
        <color rgb="FF010B21"/>
      </bottom>
    </border>
    <border>
      <right style="medium">
        <color rgb="FF010B21"/>
      </right>
      <bottom style="medium">
        <color rgb="FF010B21"/>
      </bottom>
    </border>
    <border>
      <left style="medium">
        <color rgb="FF1666DB"/>
      </left>
      <bottom style="medium">
        <color rgb="FF1666DB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medium">
        <color rgb="FF1666DB"/>
      </bottom>
    </border>
    <border>
      <right style="medium">
        <color rgb="FF1666DB"/>
      </right>
      <bottom style="medium">
        <color rgb="FF1666DB"/>
      </bottom>
    </border>
    <border>
      <left style="thin">
        <color rgb="FF66E0DC"/>
      </left>
      <top style="thin">
        <color rgb="FF66E0DC"/>
      </top>
    </border>
    <border>
      <right style="thin">
        <color rgb="FF66E0DC"/>
      </right>
      <top style="thin">
        <color rgb="FF66E0DC"/>
      </top>
    </border>
    <border>
      <left style="thin">
        <color rgb="FF66E0DC"/>
      </left>
      <right style="thin">
        <color rgb="FF66E0DC"/>
      </right>
      <top style="thin">
        <color rgb="FF66E0DC"/>
      </top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right style="thin">
        <color rgb="FFD9D9D9"/>
      </right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3F3F3"/>
      </left>
    </border>
    <border>
      <left style="thin">
        <color rgb="FF66E0DC"/>
      </left>
      <bottom style="thin">
        <color rgb="FF66E0DC"/>
      </bottom>
    </border>
    <border>
      <left style="thin">
        <color rgb="FFFFFFFF"/>
      </left>
      <right style="thin">
        <color rgb="FFF3F3F3"/>
      </right>
      <bottom style="thin">
        <color rgb="FFFFFFFF"/>
      </bottom>
    </border>
    <border>
      <right style="thin">
        <color rgb="FF66E0DC"/>
      </right>
      <bottom style="thin">
        <color rgb="FF66E0DC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F6D01"/>
      </left>
      <right style="thin">
        <color rgb="FFFF6D01"/>
      </right>
      <top style="thin">
        <color rgb="FFFF6D01"/>
      </top>
    </border>
    <border>
      <left style="thin">
        <color rgb="FFFFFFFF"/>
      </left>
      <right style="thin">
        <color rgb="FFF3F3F3"/>
      </right>
      <top style="thin">
        <color rgb="FFFFFFFF"/>
      </top>
      <bottom style="thin">
        <color rgb="FFFFFFFF"/>
      </bottom>
    </border>
    <border>
      <left style="thin">
        <color rgb="FFFF6D01"/>
      </left>
      <right style="thin">
        <color rgb="FFFF6D01"/>
      </right>
      <bottom style="thin">
        <color rgb="FFFF6D01"/>
      </bottom>
    </border>
    <border>
      <left style="thin">
        <color rgb="FF66E0DC"/>
      </left>
    </border>
    <border>
      <right style="thin">
        <color rgb="FF66E0DC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9D9D9"/>
      </right>
      <top style="thin">
        <color rgb="FFD9D9D9"/>
      </top>
    </border>
    <border>
      <left style="thin">
        <color rgb="FFA0CD60"/>
      </left>
      <top style="thin">
        <color rgb="FFA0CD60"/>
      </top>
    </border>
    <border>
      <left style="thin">
        <color rgb="FFFFFFFF"/>
      </left>
      <bottom style="thin">
        <color rgb="FFFFFFFF"/>
      </bottom>
    </border>
    <border>
      <top style="thin">
        <color rgb="FFA0CD60"/>
      </top>
    </border>
    <border>
      <left style="thin">
        <color rgb="FFD9D9D9"/>
      </left>
      <bottom style="thin">
        <color rgb="FFD9D9D9"/>
      </bottom>
    </border>
    <border>
      <right style="thin">
        <color rgb="FFA0CD60"/>
      </right>
      <top style="thin">
        <color rgb="FFA0CD60"/>
      </top>
    </border>
    <border>
      <left style="thin">
        <color rgb="FFA0CD60"/>
      </left>
      <bottom style="thin">
        <color rgb="FFA0CD60"/>
      </bottom>
    </border>
    <border>
      <left style="thin">
        <color rgb="FF66E0DC"/>
      </left>
      <right style="thin">
        <color rgb="FF66E0DC"/>
      </right>
      <bottom style="thin">
        <color rgb="FF66E0DC"/>
      </bottom>
    </border>
    <border>
      <bottom style="thin">
        <color rgb="FFA0CD60"/>
      </bottom>
    </border>
    <border>
      <right style="thin">
        <color rgb="FFA0CD60"/>
      </right>
      <bottom style="thin">
        <color rgb="FFA0CD60"/>
      </bottom>
    </border>
    <border>
      <top style="medium">
        <color rgb="FFEFEFEF"/>
      </top>
    </border>
    <border>
      <right style="medium">
        <color rgb="FFEFEFEF"/>
      </right>
      <top style="medium">
        <color rgb="FFEFEFEF"/>
      </top>
    </border>
    <border>
      <bottom style="medium">
        <color rgb="FFEFEFEF"/>
      </bottom>
    </border>
    <border>
      <right style="medium">
        <color rgb="FFEFEFEF"/>
      </right>
      <bottom style="medium">
        <color rgb="FFEFEFEF"/>
      </bottom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3F3F3"/>
      </right>
      <top style="thin">
        <color rgb="FFFFFFFF"/>
      </top>
      <bottom style="thin">
        <color rgb="FFF3F3F3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left style="thin">
        <color rgb="FFA0CD60"/>
      </left>
    </border>
    <border>
      <right style="medium">
        <color rgb="FFFFFFFF"/>
      </right>
      <bottom style="medium">
        <color rgb="FFFFFFFF"/>
      </bottom>
    </border>
    <border>
      <right style="thin">
        <color rgb="FFA0CD60"/>
      </right>
    </border>
    <border>
      <right style="thin">
        <color rgb="FFFFFFFF"/>
      </right>
      <bottom style="thin">
        <color rgb="FFFFFFFF"/>
      </bottom>
    </border>
    <border>
      <left style="thin">
        <color rgb="FF66E0DC"/>
      </left>
      <right style="thin">
        <color rgb="FF66E0DC"/>
      </right>
    </border>
    <border>
      <left style="thin">
        <color rgb="FF010B21"/>
      </left>
      <top style="thin">
        <color rgb="FF010B21"/>
      </top>
      <bottom style="thin">
        <color rgb="FF010B21"/>
      </bottom>
    </border>
    <border>
      <top style="thin">
        <color rgb="FF010B21"/>
      </top>
      <bottom style="thin">
        <color rgb="FF010B21"/>
      </bottom>
    </border>
    <border>
      <right style="thin">
        <color rgb="FF010B21"/>
      </right>
      <top style="thin">
        <color rgb="FF010B21"/>
      </top>
      <bottom style="thin">
        <color rgb="FF010B21"/>
      </bottom>
    </border>
    <border>
      <bottom style="thin">
        <color rgb="FFFFFFFF"/>
      </bottom>
    </border>
    <border>
      <right style="thin">
        <color rgb="FFF3F3F3"/>
      </right>
    </border>
    <border>
      <top style="thin">
        <color rgb="FF66E0DC"/>
      </top>
    </border>
    <border>
      <right style="thin">
        <color rgb="FFF3F3F3"/>
      </right>
      <bottom style="thin">
        <color rgb="FFF3F3F3"/>
      </bottom>
    </border>
    <border>
      <bottom style="thin">
        <color rgb="FF66E0DC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EA9999"/>
      </left>
      <bottom style="thin">
        <color rgb="FFEA9999"/>
      </bottom>
    </border>
    <border>
      <bottom style="thin">
        <color rgb="FFEA9999"/>
      </bottom>
    </border>
    <border>
      <right style="thin">
        <color rgb="FFEA9999"/>
      </right>
      <bottom style="thin">
        <color rgb="FFEA9999"/>
      </bottom>
    </border>
    <border>
      <left style="thin">
        <color rgb="FFF4CCCC"/>
      </left>
      <bottom style="thin">
        <color rgb="FFF4CCCC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bottom style="thin">
        <color rgb="FFF4CCCC"/>
      </bottom>
    </border>
    <border>
      <right style="thin">
        <color rgb="FFF4CCCC"/>
      </right>
      <bottom style="thin">
        <color rgb="FFF4CCCC"/>
      </bottom>
    </border>
    <border>
      <left style="thin">
        <color rgb="FFEFEFEF"/>
      </left>
      <top style="thin">
        <color rgb="FFEFEFEF"/>
      </top>
    </border>
    <border>
      <bottom style="thin">
        <color rgb="FFEB7363"/>
      </bottom>
    </border>
    <border>
      <top style="thin">
        <color rgb="FFFF6D01"/>
      </top>
      <bottom style="thin">
        <color rgb="FFFF6D01"/>
      </bottom>
    </border>
    <border>
      <left style="thin">
        <color rgb="FFFCE5CD"/>
      </left>
      <bottom style="thin">
        <color rgb="FFFCE5CD"/>
      </bottom>
    </border>
    <border>
      <bottom style="thin">
        <color rgb="FFFCE5CD"/>
      </bottom>
    </border>
    <border>
      <right style="thin">
        <color rgb="FFFCE5CD"/>
      </right>
      <bottom style="thin">
        <color rgb="FFFCE5CD"/>
      </bottom>
    </border>
    <border>
      <left style="thin">
        <color rgb="FF1666DB"/>
      </left>
      <top style="thin">
        <color rgb="FF1666DB"/>
      </top>
      <bottom style="thin">
        <color rgb="FF1666DB"/>
      </bottom>
    </border>
    <border>
      <top style="thin">
        <color rgb="FF1666DB"/>
      </top>
      <bottom style="thin">
        <color rgb="FF1666DB"/>
      </bottom>
    </border>
    <border>
      <right style="thin">
        <color rgb="FF1666DB"/>
      </right>
      <top style="thin">
        <color rgb="FF1666DB"/>
      </top>
      <bottom style="thin">
        <color rgb="FF1666DB"/>
      </bottom>
    </border>
    <border>
      <left style="thin">
        <color rgb="FFFF6D01"/>
      </left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  <bottom style="thin">
        <color rgb="FFFF6D01"/>
      </bottom>
    </border>
    <border>
      <right style="thin">
        <color rgb="FFFF6D01"/>
      </right>
      <bottom style="thin">
        <color rgb="FFFF6D01"/>
      </bottom>
    </border>
    <border>
      <left style="thin">
        <color rgb="FFEA9999"/>
      </left>
      <top style="thin">
        <color rgb="FFEA9999"/>
      </top>
    </border>
    <border>
      <top style="thin">
        <color rgb="FFEA9999"/>
      </top>
    </border>
    <border>
      <right style="thin">
        <color rgb="FFEA9999"/>
      </right>
      <top style="thin">
        <color rgb="FFEA9999"/>
      </top>
    </border>
    <border>
      <left style="thin">
        <color rgb="FFF4CCCC"/>
      </left>
      <top style="thin">
        <color rgb="FFF4CCCC"/>
      </top>
    </border>
    <border>
      <top style="thin">
        <color rgb="FFF4CCCC"/>
      </top>
    </border>
    <border>
      <right style="thin">
        <color rgb="FFF4CCCC"/>
      </right>
      <top style="thin">
        <color rgb="FFF4CCCC"/>
      </top>
    </border>
    <border>
      <top style="thin">
        <color rgb="FFEB7363"/>
      </top>
    </border>
    <border>
      <right style="thin">
        <color rgb="FFEB7363"/>
      </right>
      <top style="thin">
        <color rgb="FFEB7363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B7363"/>
      </right>
      <bottom style="thin">
        <color rgb="FFEB7363"/>
      </bottom>
    </border>
    <border>
      <left style="thin">
        <color rgb="FFCCCCCC"/>
      </left>
      <right style="thin">
        <color rgb="FFCCCCCC"/>
      </right>
    </border>
    <border>
      <left style="thin">
        <color rgb="FFB7B7B7"/>
      </left>
    </border>
    <border>
      <left style="thin">
        <color rgb="FF66E0DC"/>
      </left>
      <top style="thin">
        <color rgb="FF66E0DC"/>
      </top>
      <bottom style="thin">
        <color rgb="FF66E0D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66E0DC"/>
      </right>
      <top style="thin">
        <color rgb="FF66E0DC"/>
      </top>
      <bottom style="thin">
        <color rgb="FF66E0DC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F3F3F3"/>
      </left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FFFFFF"/>
      </right>
      <top style="thin">
        <color rgb="FF010B21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10B21"/>
      </left>
      <bottom style="thin">
        <color rgb="FFFFFFFF"/>
      </bottom>
    </border>
    <border>
      <left style="thin">
        <color rgb="FFEFEFEF"/>
      </left>
    </border>
    <border>
      <left style="thin">
        <color rgb="FFEFEFEF"/>
      </left>
      <bottom style="thin">
        <color rgb="FFFFFFFF"/>
      </bottom>
    </border>
    <border>
      <top style="thin">
        <color rgb="FF1666DB"/>
      </top>
    </border>
    <border>
      <right style="medium">
        <color rgb="FFFFFFFF"/>
      </right>
      <top style="thin">
        <color rgb="FF1666DB"/>
      </top>
    </border>
    <border>
      <right style="medium">
        <color rgb="FFFFFFFF"/>
      </right>
    </border>
    <border>
      <left style="thin">
        <color rgb="FF1666DB"/>
      </lef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Border="1" applyFill="1" applyFont="1"/>
    <xf borderId="5" fillId="2" fontId="1" numFmtId="0" xfId="0" applyBorder="1" applyFill="1" applyFont="1"/>
    <xf borderId="5" fillId="2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3" fontId="5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2" fontId="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9" fillId="2" fontId="1" numFmtId="0" xfId="0" applyBorder="1" applyFill="1" applyFont="1"/>
    <xf borderId="11" fillId="3" fontId="6" numFmtId="0" xfId="0" applyAlignment="1" applyBorder="1" applyFill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7" fillId="3" fontId="4" numFmtId="0" xfId="0" applyAlignment="1" applyBorder="1" applyFill="1" applyFont="1">
      <alignment horizontal="center" readingOrder="0" vertical="center"/>
    </xf>
    <xf borderId="16" fillId="4" fontId="7" numFmtId="0" xfId="0" applyAlignment="1" applyBorder="1" applyFill="1" applyFont="1">
      <alignment horizontal="center" readingOrder="0" shrinkToFit="0" vertical="center" wrapText="1"/>
    </xf>
    <xf borderId="16" fillId="4" fontId="8" numFmtId="0" xfId="0" applyAlignment="1" applyBorder="1" applyFill="1" applyFont="1">
      <alignment horizontal="center" readingOrder="0" shrinkToFit="0" vertical="center" wrapText="1"/>
    </xf>
    <xf borderId="17" fillId="0" fontId="3" numFmtId="0" xfId="0" applyBorder="1" applyFont="1"/>
    <xf borderId="9" fillId="0" fontId="3" numFmtId="0" xfId="0" applyBorder="1" applyFont="1"/>
    <xf borderId="4" fillId="2" fontId="4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4" fontId="9" numFmtId="0" xfId="0" applyAlignment="1" applyBorder="1" applyFill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5" fontId="10" numFmtId="0" xfId="0" applyAlignment="1" applyBorder="1" applyFill="1" applyFont="1">
      <alignment horizontal="center" readingOrder="0" vertical="center"/>
    </xf>
    <xf borderId="13" fillId="2" fontId="11" numFmtId="0" xfId="0" applyAlignment="1" applyBorder="1" applyFill="1" applyFont="1">
      <alignment horizontal="center" readingOrder="0" vertical="center"/>
    </xf>
    <xf borderId="31" fillId="6" fontId="12" numFmtId="0" xfId="0" applyAlignment="1" applyBorder="1" applyFill="1" applyFont="1">
      <alignment horizontal="center" readingOrder="0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7" fontId="12" numFmtId="0" xfId="0" applyAlignment="1" applyBorder="1" applyFill="1" applyFont="1">
      <alignment horizontal="center" readingOrder="0"/>
    </xf>
    <xf borderId="36" fillId="7" fontId="12" numFmtId="0" xfId="0" applyAlignment="1" applyBorder="1" applyFill="1" applyFont="1">
      <alignment horizontal="center" readingOrder="0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31" fillId="6" fontId="1" numFmtId="164" xfId="0" applyAlignment="1" applyBorder="1" applyFill="1" applyFont="1" applyNumberFormat="1">
      <alignment horizontal="center" readingOrder="0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35" fillId="7" fontId="1" numFmtId="164" xfId="0" applyAlignment="1" applyBorder="1" applyFill="1" applyFont="1" applyNumberFormat="1">
      <alignment horizontal="center" readingOrder="0"/>
    </xf>
    <xf borderId="43" fillId="0" fontId="3" numFmtId="0" xfId="0" applyBorder="1" applyFont="1"/>
    <xf borderId="36" fillId="7" fontId="1" numFmtId="164" xfId="0" applyAlignment="1" applyBorder="1" applyFill="1" applyFont="1" applyNumberFormat="1">
      <alignment horizontal="center" readingOrder="0"/>
    </xf>
    <xf borderId="15" fillId="0" fontId="13" numFmtId="0" xfId="0" applyAlignment="1" applyBorder="1" applyFont="1">
      <alignment horizontal="center" readingOrder="0" vertical="center"/>
    </xf>
    <xf borderId="44" fillId="0" fontId="3" numFmtId="0" xfId="0" applyBorder="1" applyFont="1"/>
    <xf borderId="15" fillId="0" fontId="1" numFmtId="164" xfId="0" applyAlignment="1" applyBorder="1" applyFont="1" applyNumberFormat="1">
      <alignment horizontal="center" readingOrder="0"/>
    </xf>
    <xf borderId="45" fillId="0" fontId="3" numFmtId="0" xfId="0" applyBorder="1" applyFont="1"/>
    <xf borderId="15" fillId="0" fontId="14" numFmtId="0" xfId="0" applyAlignment="1" applyBorder="1" applyFont="1">
      <alignment horizontal="center" readingOrder="0" vertical="center"/>
    </xf>
    <xf borderId="46" fillId="0" fontId="3" numFmtId="0" xfId="0" applyBorder="1" applyFont="1"/>
    <xf borderId="47" fillId="0" fontId="1" numFmtId="0" xfId="0" applyBorder="1" applyFont="1"/>
    <xf borderId="47" fillId="0" fontId="14" numFmtId="0" xfId="0" applyAlignment="1" applyBorder="1" applyFont="1">
      <alignment horizontal="center" readingOrder="0" vertical="center"/>
    </xf>
    <xf borderId="15" fillId="0" fontId="1" numFmtId="0" xfId="0" applyBorder="1" applyFont="1"/>
    <xf borderId="48" fillId="0" fontId="3" numFmtId="0" xfId="0" applyBorder="1" applyFont="1"/>
    <xf borderId="49" fillId="0" fontId="3" numFmtId="0" xfId="0" applyBorder="1" applyFont="1"/>
    <xf borderId="9" fillId="0" fontId="1" numFmtId="0" xfId="0" applyBorder="1" applyFont="1"/>
    <xf borderId="50" fillId="8" fontId="12" numFmtId="0" xfId="0" applyAlignment="1" applyBorder="1" applyFill="1" applyFont="1">
      <alignment horizontal="center" readingOrder="0" vertical="center"/>
    </xf>
    <xf borderId="51" fillId="0" fontId="3" numFmtId="0" xfId="0" applyBorder="1" applyFont="1"/>
    <xf borderId="40" fillId="4" fontId="15" numFmtId="0" xfId="0" applyAlignment="1" applyBorder="1" applyFill="1" applyFont="1">
      <alignment horizontal="center" readingOrder="0" vertical="center"/>
    </xf>
    <xf borderId="52" fillId="8" fontId="16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50" fillId="8" fontId="16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horizontal="left" readingOrder="0" shrinkToFit="0" vertical="center" wrapText="1"/>
    </xf>
    <xf borderId="53" fillId="9" fontId="12" numFmtId="0" xfId="0" applyAlignment="1" applyBorder="1" applyFill="1" applyFont="1">
      <alignment horizontal="center" readingOrder="0" shrinkToFit="0" vertical="center" wrapText="1"/>
    </xf>
    <xf borderId="54" fillId="0" fontId="3" numFmtId="0" xfId="0" applyBorder="1" applyFont="1"/>
    <xf borderId="55" fillId="0" fontId="3" numFmtId="0" xfId="0" applyBorder="1" applyFont="1"/>
    <xf borderId="56" fillId="0" fontId="18" numFmtId="0" xfId="0" applyBorder="1" applyFont="1"/>
    <xf borderId="57" fillId="0" fontId="3" numFmtId="0" xfId="0" applyBorder="1" applyFont="1"/>
    <xf borderId="58" fillId="0" fontId="19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10" fontId="1" numFmtId="9" xfId="0" applyAlignment="1" applyBorder="1" applyFill="1" applyFont="1" applyNumberFormat="1">
      <alignment horizontal="center" readingOrder="0" shrinkToFit="0" vertical="center" wrapText="1"/>
    </xf>
    <xf borderId="56" fillId="0" fontId="3" numFmtId="0" xfId="0" applyBorder="1" applyFont="1"/>
    <xf borderId="62" fillId="10" fontId="1" numFmtId="0" xfId="0" applyAlignment="1" applyBorder="1" applyFill="1" applyFont="1">
      <alignment horizontal="center" readingOrder="0" shrinkToFit="0" vertical="center" wrapText="1"/>
    </xf>
    <xf borderId="63" fillId="0" fontId="19" numFmtId="0" xfId="0" applyBorder="1" applyFont="1"/>
    <xf borderId="50" fillId="11" fontId="20" numFmtId="0" xfId="0" applyAlignment="1" applyBorder="1" applyFill="1" applyFont="1">
      <alignment horizontal="center" readingOrder="0" vertical="center"/>
    </xf>
    <xf borderId="24" fillId="4" fontId="15" numFmtId="0" xfId="0" applyAlignment="1" applyBorder="1" applyFill="1" applyFont="1">
      <alignment horizontal="center" readingOrder="0" vertical="center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21" numFmtId="0" xfId="0" applyAlignment="1" applyBorder="1" applyFont="1">
      <alignment horizontal="left" readingOrder="0" shrinkToFit="0" vertical="center" wrapText="1"/>
    </xf>
    <xf borderId="3" fillId="0" fontId="1" numFmtId="0" xfId="0" applyBorder="1" applyFont="1"/>
    <xf borderId="68" fillId="0" fontId="3" numFmtId="0" xfId="0" applyBorder="1" applyFont="1"/>
    <xf borderId="69" fillId="0" fontId="1" numFmtId="0" xfId="0" applyBorder="1" applyFont="1"/>
    <xf borderId="2" fillId="0" fontId="22" numFmtId="0" xfId="0" applyAlignment="1" applyBorder="1" applyFont="1">
      <alignment horizontal="center" vertical="center"/>
    </xf>
    <xf borderId="70" fillId="0" fontId="3" numFmtId="0" xfId="0" applyBorder="1" applyFont="1"/>
    <xf borderId="71" fillId="12" fontId="12" numFmtId="0" xfId="0" applyAlignment="1" applyBorder="1" applyFill="1" applyFont="1">
      <alignment horizontal="center" readingOrder="0" vertical="center"/>
    </xf>
    <xf borderId="72" fillId="0" fontId="1" numFmtId="0" xfId="0" applyBorder="1" applyFont="1"/>
    <xf borderId="73" fillId="0" fontId="3" numFmtId="0" xfId="0" applyBorder="1" applyFont="1"/>
    <xf borderId="74" fillId="0" fontId="3" numFmtId="0" xfId="0" applyBorder="1" applyFont="1"/>
    <xf borderId="75" fillId="0" fontId="3" numFmtId="0" xfId="0" applyBorder="1" applyFont="1"/>
    <xf borderId="1" fillId="0" fontId="1" numFmtId="0" xfId="0" applyBorder="1" applyFont="1"/>
    <xf borderId="76" fillId="0" fontId="3" numFmtId="0" xfId="0" applyBorder="1" applyFont="1"/>
    <xf borderId="77" fillId="0" fontId="3" numFmtId="0" xfId="0" applyBorder="1" applyFont="1"/>
    <xf borderId="68" fillId="0" fontId="17" numFmtId="0" xfId="0" applyAlignment="1" applyBorder="1" applyFont="1">
      <alignment horizontal="left" readingOrder="0" shrinkToFit="0" vertical="center" wrapText="1"/>
    </xf>
    <xf borderId="78" fillId="0" fontId="3" numFmtId="0" xfId="0" applyBorder="1" applyFont="1"/>
    <xf borderId="79" fillId="0" fontId="3" numFmtId="0" xfId="0" applyBorder="1" applyFont="1"/>
    <xf borderId="24" fillId="4" fontId="15" numFmtId="0" xfId="0" applyAlignment="1" applyBorder="1" applyFill="1" applyFont="1">
      <alignment horizontal="center" readingOrder="0" shrinkToFit="0" vertical="center" wrapText="1"/>
    </xf>
    <xf borderId="80" fillId="0" fontId="17" numFmtId="0" xfId="0" applyAlignment="1" applyBorder="1" applyFont="1">
      <alignment horizontal="left" readingOrder="0" shrinkToFit="0" vertical="center" wrapText="1"/>
    </xf>
    <xf borderId="52" fillId="11" fontId="20" numFmtId="0" xfId="0" applyAlignment="1" applyBorder="1" applyFill="1" applyFont="1">
      <alignment horizontal="center" readingOrder="0" vertical="center"/>
    </xf>
    <xf borderId="80" fillId="0" fontId="3" numFmtId="0" xfId="0" applyBorder="1" applyFont="1"/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84" fillId="0" fontId="3" numFmtId="0" xfId="0" applyBorder="1" applyFont="1"/>
    <xf borderId="85" fillId="0" fontId="3" numFmtId="0" xfId="0" applyBorder="1" applyFont="1"/>
    <xf borderId="86" fillId="0" fontId="3" numFmtId="0" xfId="0" applyBorder="1" applyFont="1"/>
    <xf borderId="87" fillId="0" fontId="19" numFmtId="0" xfId="0" applyBorder="1" applyFont="1"/>
    <xf borderId="71" fillId="13" fontId="20" numFmtId="4" xfId="0" applyAlignment="1" applyBorder="1" applyFill="1" applyFont="1" applyNumberFormat="1">
      <alignment horizontal="center" readingOrder="0" vertical="center"/>
    </xf>
    <xf borderId="71" fillId="13" fontId="20" numFmtId="10" xfId="0" applyAlignment="1" applyBorder="1" applyFill="1" applyFont="1" applyNumberFormat="1">
      <alignment horizontal="center" readingOrder="0" vertical="center"/>
    </xf>
    <xf borderId="88" fillId="0" fontId="23" numFmtId="0" xfId="0" applyAlignment="1" applyBorder="1" applyFont="1">
      <alignment horizontal="center" readingOrder="0"/>
    </xf>
    <xf borderId="71" fillId="13" fontId="24" numFmtId="4" xfId="0" applyAlignment="1" applyBorder="1" applyFill="1" applyFont="1" applyNumberFormat="1">
      <alignment horizontal="center" readingOrder="0" shrinkToFit="0" vertical="center" wrapText="1"/>
    </xf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92" fillId="0" fontId="3" numFmtId="0" xfId="0" applyBorder="1" applyFont="1"/>
    <xf borderId="93" fillId="0" fontId="19" numFmtId="0" xfId="0" applyBorder="1" applyFont="1"/>
    <xf borderId="47" fillId="0" fontId="19" numFmtId="0" xfId="0" applyBorder="1" applyFont="1"/>
    <xf borderId="93" fillId="0" fontId="3" numFmtId="0" xfId="0" applyBorder="1" applyFont="1"/>
    <xf borderId="94" fillId="0" fontId="3" numFmtId="0" xfId="0" applyBorder="1" applyFont="1"/>
    <xf borderId="15" fillId="0" fontId="1" numFmtId="0" xfId="0" applyAlignment="1" applyBorder="1" applyFont="1">
      <alignment horizontal="center" vertical="center"/>
    </xf>
    <xf borderId="72" fillId="0" fontId="3" numFmtId="0" xfId="0" applyBorder="1" applyFont="1"/>
    <xf borderId="95" fillId="3" fontId="25" numFmtId="0" xfId="0" applyAlignment="1" applyBorder="1" applyFill="1" applyFont="1">
      <alignment horizontal="center" readingOrder="0" shrinkToFit="0" vertical="top" wrapText="1"/>
    </xf>
    <xf borderId="2" fillId="14" fontId="26" numFmtId="0" xfId="0" applyBorder="1" applyFill="1" applyFont="1"/>
    <xf borderId="96" fillId="0" fontId="3" numFmtId="0" xfId="0" applyBorder="1" applyFont="1"/>
    <xf borderId="97" fillId="0" fontId="3" numFmtId="0" xfId="0" applyBorder="1" applyFont="1"/>
    <xf borderId="72" fillId="0" fontId="1" numFmtId="0" xfId="0" applyAlignment="1" applyBorder="1" applyFont="1">
      <alignment horizontal="center" readingOrder="0"/>
    </xf>
    <xf borderId="69" fillId="0" fontId="22" numFmtId="0" xfId="0" applyAlignment="1" applyBorder="1" applyFont="1">
      <alignment horizontal="center" vertical="center"/>
    </xf>
    <xf borderId="98" fillId="0" fontId="3" numFmtId="0" xfId="0" applyBorder="1" applyFont="1"/>
    <xf borderId="56" fillId="15" fontId="1" numFmtId="0" xfId="0" applyAlignment="1" applyBorder="1" applyFill="1" applyFont="1">
      <alignment horizontal="center" readingOrder="0" shrinkToFit="0" vertical="center" wrapText="1"/>
    </xf>
    <xf borderId="99" fillId="0" fontId="3" numFmtId="0" xfId="0" applyBorder="1" applyFont="1"/>
    <xf borderId="1" fillId="0" fontId="1" numFmtId="10" xfId="0" applyAlignment="1" applyBorder="1" applyFont="1" applyNumberFormat="1">
      <alignment horizontal="center"/>
    </xf>
    <xf borderId="100" fillId="0" fontId="3" numFmtId="0" xfId="0" applyBorder="1" applyFont="1"/>
    <xf borderId="101" fillId="0" fontId="3" numFmtId="0" xfId="0" applyBorder="1" applyFont="1"/>
    <xf borderId="95" fillId="3" fontId="25" numFmtId="0" xfId="0" applyAlignment="1" applyBorder="1" applyFill="1" applyFont="1">
      <alignment horizontal="center" readingOrder="0"/>
    </xf>
    <xf borderId="47" fillId="0" fontId="3" numFmtId="0" xfId="0" applyBorder="1" applyFont="1"/>
    <xf borderId="102" fillId="0" fontId="3" numFmtId="0" xfId="0" applyBorder="1" applyFont="1"/>
    <xf borderId="2" fillId="0" fontId="1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readingOrder="0" shrinkToFit="0" vertical="top" wrapText="1"/>
    </xf>
    <xf borderId="103" fillId="16" fontId="12" numFmtId="0" xfId="0" applyAlignment="1" applyBorder="1" applyFill="1" applyFont="1">
      <alignment horizontal="center" readingOrder="0"/>
    </xf>
    <xf borderId="69" fillId="0" fontId="12" numFmtId="0" xfId="0" applyAlignment="1" applyBorder="1" applyFont="1">
      <alignment horizontal="center" readingOrder="0" shrinkToFit="0" vertical="top" wrapText="1"/>
    </xf>
    <xf borderId="104" fillId="16" fontId="12" numFmtId="0" xfId="0" applyAlignment="1" applyBorder="1" applyFill="1" applyFont="1">
      <alignment horizontal="center" readingOrder="0"/>
    </xf>
    <xf borderId="105" fillId="17" fontId="1" numFmtId="10" xfId="0" applyAlignment="1" applyBorder="1" applyFill="1" applyFont="1" applyNumberFormat="1">
      <alignment horizontal="center" readingOrder="0"/>
    </xf>
    <xf borderId="106" fillId="17" fontId="1" numFmtId="10" xfId="0" applyAlignment="1" applyBorder="1" applyFill="1" applyFont="1" applyNumberFormat="1">
      <alignment horizontal="center" readingOrder="0"/>
    </xf>
    <xf borderId="105" fillId="17" fontId="1" numFmtId="10" xfId="0" applyAlignment="1" applyBorder="1" applyFill="1" applyFont="1" applyNumberFormat="1">
      <alignment horizontal="center" readingOrder="0" vertical="center"/>
    </xf>
    <xf borderId="106" fillId="17" fontId="1" numFmtId="10" xfId="0" applyAlignment="1" applyBorder="1" applyFill="1" applyFont="1" applyNumberFormat="1">
      <alignment horizontal="center" readingOrder="0" vertical="center"/>
    </xf>
    <xf borderId="0" fillId="2" fontId="1" numFmtId="0" xfId="0" applyFill="1" applyFont="1"/>
    <xf borderId="1" fillId="0" fontId="1" numFmtId="0" xfId="0" applyAlignment="1" applyBorder="1" applyFont="1">
      <alignment horizontal="center" vertical="center"/>
    </xf>
    <xf borderId="16" fillId="4" fontId="27" numFmtId="0" xfId="0" applyAlignment="1" applyBorder="1" applyFill="1" applyFont="1">
      <alignment horizontal="center" readingOrder="0" shrinkToFit="0" vertical="center" wrapText="1"/>
    </xf>
    <xf borderId="42" fillId="0" fontId="13" numFmtId="0" xfId="0" applyAlignment="1" applyBorder="1" applyFont="1">
      <alignment horizontal="center" readingOrder="0" vertical="center"/>
    </xf>
    <xf borderId="0" fillId="5" fontId="10" numFmtId="0" xfId="0" applyAlignment="1" applyFill="1" applyFont="1">
      <alignment horizontal="center" readingOrder="0" vertical="center"/>
    </xf>
    <xf borderId="107" fillId="6" fontId="12" numFmtId="0" xfId="0" applyAlignment="1" applyBorder="1" applyFill="1" applyFont="1">
      <alignment horizontal="center" readingOrder="0"/>
    </xf>
    <xf borderId="56" fillId="15" fontId="28" numFmtId="0" xfId="0" applyAlignment="1" applyBorder="1" applyFill="1" applyFont="1">
      <alignment horizontal="center" readingOrder="0" shrinkToFit="0" vertical="center" wrapText="1"/>
    </xf>
    <xf borderId="108" fillId="0" fontId="3" numFmtId="0" xfId="0" applyBorder="1" applyFont="1"/>
    <xf borderId="109" fillId="0" fontId="3" numFmtId="0" xfId="0" applyBorder="1" applyFont="1"/>
    <xf borderId="110" fillId="7" fontId="12" numFmtId="0" xfId="0" applyAlignment="1" applyBorder="1" applyFill="1" applyFont="1">
      <alignment horizontal="center" readingOrder="0"/>
    </xf>
    <xf borderId="111" fillId="17" fontId="1" numFmtId="10" xfId="0" applyAlignment="1" applyBorder="1" applyFill="1" applyFont="1" applyNumberFormat="1">
      <alignment horizontal="center" readingOrder="0" vertical="center"/>
    </xf>
    <xf borderId="112" fillId="0" fontId="3" numFmtId="0" xfId="0" applyBorder="1" applyFont="1"/>
    <xf borderId="113" fillId="0" fontId="3" numFmtId="0" xfId="0" applyBorder="1" applyFont="1"/>
    <xf borderId="114" fillId="17" fontId="1" numFmtId="10" xfId="0" applyAlignment="1" applyBorder="1" applyFill="1" applyFont="1" applyNumberFormat="1">
      <alignment horizontal="center" readingOrder="0" vertical="center"/>
    </xf>
    <xf borderId="115" fillId="0" fontId="3" numFmtId="0" xfId="0" applyBorder="1" applyFont="1"/>
    <xf borderId="62" fillId="10" fontId="1" numFmtId="165" xfId="0" applyAlignment="1" applyBorder="1" applyFill="1" applyFont="1" applyNumberFormat="1">
      <alignment horizontal="center" readingOrder="0" shrinkToFit="0" vertical="center" wrapText="1"/>
    </xf>
    <xf borderId="53" fillId="18" fontId="12" numFmtId="0" xfId="0" applyAlignment="1" applyBorder="1" applyFill="1" applyFont="1">
      <alignment horizontal="center" readingOrder="0"/>
    </xf>
    <xf borderId="50" fillId="11" fontId="20" numFmtId="165" xfId="0" applyAlignment="1" applyBorder="1" applyFill="1" applyFont="1" applyNumberFormat="1">
      <alignment horizontal="center" readingOrder="0" vertical="center"/>
    </xf>
    <xf borderId="116" fillId="0" fontId="3" numFmtId="0" xfId="0" applyBorder="1" applyFont="1"/>
    <xf borderId="100" fillId="8" fontId="12" numFmtId="0" xfId="0" applyAlignment="1" applyBorder="1" applyFill="1" applyFont="1">
      <alignment horizontal="center" readingOrder="0" vertical="center"/>
    </xf>
    <xf borderId="117" fillId="10" fontId="1" numFmtId="9" xfId="0" applyAlignment="1" applyBorder="1" applyFill="1" applyFont="1" applyNumberFormat="1">
      <alignment horizontal="center" readingOrder="0"/>
    </xf>
    <xf borderId="118" fillId="0" fontId="3" numFmtId="0" xfId="0" applyBorder="1" applyFont="1"/>
    <xf borderId="119" fillId="0" fontId="3" numFmtId="0" xfId="0" applyBorder="1" applyFont="1"/>
    <xf borderId="42" fillId="0" fontId="1" numFmtId="0" xfId="0" applyBorder="1" applyFont="1"/>
    <xf borderId="100" fillId="11" fontId="20" numFmtId="0" xfId="0" applyAlignment="1" applyBorder="1" applyFill="1" applyFont="1">
      <alignment horizontal="center" readingOrder="0" vertical="center"/>
    </xf>
    <xf borderId="71" fillId="13" fontId="20" numFmtId="9" xfId="0" applyAlignment="1" applyBorder="1" applyFill="1" applyFont="1" applyNumberFormat="1">
      <alignment horizontal="center" readingOrder="0" vertical="center"/>
    </xf>
    <xf borderId="71" fillId="13" fontId="20" numFmtId="165" xfId="0" applyAlignment="1" applyBorder="1" applyFill="1" applyFont="1" applyNumberFormat="1">
      <alignment horizontal="center" readingOrder="0" vertical="center"/>
    </xf>
    <xf borderId="120" fillId="4" fontId="29" numFmtId="0" xfId="0" applyAlignment="1" applyBorder="1" applyFill="1" applyFont="1">
      <alignment horizontal="center" readingOrder="0" shrinkToFit="0" vertical="center" wrapText="1"/>
    </xf>
    <xf borderId="121" fillId="0" fontId="3" numFmtId="0" xfId="0" applyBorder="1" applyFont="1"/>
    <xf borderId="122" fillId="0" fontId="3" numFmtId="0" xfId="0" applyBorder="1" applyFont="1"/>
    <xf borderId="4" fillId="0" fontId="1" numFmtId="0" xfId="0" applyBorder="1" applyFont="1"/>
    <xf borderId="123" fillId="10" fontId="1" numFmtId="9" xfId="0" applyAlignment="1" applyBorder="1" applyFill="1" applyFont="1" applyNumberFormat="1">
      <alignment horizontal="center" readingOrder="0" shrinkToFit="0" vertical="center" wrapText="1"/>
    </xf>
    <xf borderId="124" fillId="0" fontId="3" numFmtId="0" xfId="0" applyBorder="1" applyFont="1"/>
    <xf borderId="69" fillId="0" fontId="1" numFmtId="10" xfId="0" applyAlignment="1" applyBorder="1" applyFont="1" applyNumberFormat="1">
      <alignment horizontal="center"/>
    </xf>
    <xf borderId="125" fillId="0" fontId="3" numFmtId="0" xfId="0" applyBorder="1" applyFont="1"/>
    <xf borderId="126" fillId="0" fontId="3" numFmtId="0" xfId="0" applyBorder="1" applyFont="1"/>
    <xf borderId="0" fillId="11" fontId="20" numFmtId="0" xfId="0" applyAlignment="1" applyFill="1" applyFont="1">
      <alignment horizontal="center" readingOrder="0" vertical="center"/>
    </xf>
    <xf borderId="93" fillId="0" fontId="1" numFmtId="0" xfId="0" applyBorder="1" applyFont="1"/>
    <xf borderId="96" fillId="3" fontId="25" numFmtId="0" xfId="0" applyAlignment="1" applyBorder="1" applyFill="1" applyFont="1">
      <alignment horizontal="center" readingOrder="0" shrinkToFit="0" vertical="top" wrapText="1"/>
    </xf>
    <xf borderId="2" fillId="2" fontId="12" numFmtId="0" xfId="0" applyAlignment="1" applyBorder="1" applyFill="1" applyFont="1">
      <alignment horizontal="center" readingOrder="0"/>
    </xf>
    <xf borderId="0" fillId="15" fontId="1" numFmtId="0" xfId="0" applyAlignment="1" applyFill="1" applyFont="1">
      <alignment horizontal="center" readingOrder="0" shrinkToFit="0" vertical="top" wrapText="1"/>
    </xf>
    <xf borderId="93" fillId="0" fontId="12" numFmtId="0" xfId="0" applyAlignment="1" applyBorder="1" applyFont="1">
      <alignment horizontal="center" readingOrder="0" shrinkToFit="0" vertical="top" wrapText="1"/>
    </xf>
    <xf borderId="3" fillId="0" fontId="12" numFmtId="0" xfId="0" applyAlignment="1" applyBorder="1" applyFont="1">
      <alignment horizontal="center" readingOrder="0" shrinkToFit="0" vertical="top" wrapText="1"/>
    </xf>
    <xf borderId="2" fillId="2" fontId="1" numFmtId="9" xfId="0" applyAlignment="1" applyBorder="1" applyFill="1" applyFont="1" applyNumberFormat="1">
      <alignment horizontal="center" readingOrder="0"/>
    </xf>
    <xf borderId="105" fillId="17" fontId="1" numFmtId="9" xfId="0" applyAlignment="1" applyBorder="1" applyFill="1" applyFont="1" applyNumberFormat="1">
      <alignment horizontal="center" readingOrder="0"/>
    </xf>
    <xf borderId="2" fillId="2" fontId="1" numFmtId="9" xfId="0" applyAlignment="1" applyBorder="1" applyFill="1" applyFont="1" applyNumberFormat="1">
      <alignment horizontal="center" readingOrder="0" vertical="center"/>
    </xf>
    <xf borderId="105" fillId="17" fontId="1" numFmtId="9" xfId="0" applyAlignment="1" applyBorder="1" applyFill="1" applyFont="1" applyNumberFormat="1">
      <alignment horizontal="center" readingOrder="0" vertical="center"/>
    </xf>
    <xf borderId="121" fillId="4" fontId="30" numFmtId="0" xfId="0" applyAlignment="1" applyBorder="1" applyFill="1" applyFont="1">
      <alignment horizontal="center" readingOrder="0" shrinkToFit="0" vertical="top" wrapText="1"/>
    </xf>
    <xf borderId="0" fillId="3" fontId="4" numFmtId="0" xfId="0" applyAlignment="1" applyFill="1" applyFont="1">
      <alignment horizontal="center" readingOrder="0" vertical="center"/>
    </xf>
    <xf borderId="15" fillId="0" fontId="12" numFmtId="0" xfId="0" applyAlignment="1" applyBorder="1" applyFont="1">
      <alignment horizontal="center" readingOrder="0" shrinkToFit="0" vertical="top" wrapText="1"/>
    </xf>
    <xf borderId="127" fillId="6" fontId="1" numFmtId="164" xfId="0" applyAlignment="1" applyBorder="1" applyFill="1" applyFont="1" applyNumberFormat="1">
      <alignment horizontal="center" readingOrder="0"/>
    </xf>
    <xf borderId="128" fillId="0" fontId="3" numFmtId="0" xfId="0" applyBorder="1" applyFont="1"/>
    <xf borderId="129" fillId="0" fontId="3" numFmtId="0" xfId="0" applyBorder="1" applyFont="1"/>
    <xf borderId="130" fillId="7" fontId="1" numFmtId="164" xfId="0" applyAlignment="1" applyBorder="1" applyFill="1" applyFont="1" applyNumberFormat="1">
      <alignment horizontal="center" readingOrder="0"/>
    </xf>
    <xf borderId="131" fillId="0" fontId="3" numFmtId="0" xfId="0" applyBorder="1" applyFont="1"/>
    <xf borderId="132" fillId="0" fontId="3" numFmtId="0" xfId="0" applyBorder="1" applyFont="1"/>
    <xf borderId="4" fillId="0" fontId="12" numFmtId="0" xfId="0" applyAlignment="1" applyBorder="1" applyFont="1">
      <alignment horizontal="center" readingOrder="0" shrinkToFit="0" vertical="top" wrapText="1"/>
    </xf>
    <xf borderId="69" fillId="0" fontId="13" numFmtId="0" xfId="0" applyAlignment="1" applyBorder="1" applyFont="1">
      <alignment horizontal="center" readingOrder="0" vertical="center"/>
    </xf>
    <xf borderId="69" fillId="0" fontId="1" numFmtId="164" xfId="0" applyAlignment="1" applyBorder="1" applyFont="1" applyNumberFormat="1">
      <alignment horizontal="center" readingOrder="0"/>
    </xf>
    <xf borderId="69" fillId="0" fontId="14" numFmtId="0" xfId="0" applyAlignment="1" applyBorder="1" applyFont="1">
      <alignment horizontal="center" readingOrder="0" vertical="center"/>
    </xf>
    <xf borderId="30" fillId="5" fontId="12" numFmtId="0" xfId="0" applyAlignment="1" applyBorder="1" applyFill="1" applyFont="1">
      <alignment horizontal="center" readingOrder="0" shrinkToFit="0" vertical="center" wrapText="1"/>
    </xf>
    <xf borderId="0" fillId="8" fontId="31" numFmtId="0" xfId="0" applyAlignment="1" applyFill="1" applyFont="1">
      <alignment horizontal="center" readingOrder="0" vertical="center"/>
    </xf>
    <xf borderId="133" fillId="0" fontId="3" numFmtId="0" xfId="0" applyBorder="1" applyFont="1"/>
    <xf borderId="134" fillId="0" fontId="3" numFmtId="0" xfId="0" applyBorder="1" applyFont="1"/>
    <xf borderId="0" fillId="3" fontId="32" numFmtId="0" xfId="0" applyAlignment="1" applyFill="1" applyFont="1">
      <alignment horizontal="center" readingOrder="0" vertical="center"/>
    </xf>
    <xf borderId="1" fillId="2" fontId="25" numFmtId="0" xfId="0" applyAlignment="1" applyBorder="1" applyFill="1" applyFont="1">
      <alignment horizontal="center" readingOrder="0" vertical="center"/>
    </xf>
    <xf borderId="0" fillId="3" fontId="32" numFmtId="0" xfId="0" applyAlignment="1" applyFill="1" applyFont="1">
      <alignment horizontal="center" readingOrder="0" shrinkToFit="0" vertical="center" wrapText="1"/>
    </xf>
    <xf borderId="69" fillId="2" fontId="12" numFmtId="0" xfId="0" applyAlignment="1" applyBorder="1" applyFill="1" applyFont="1">
      <alignment horizontal="center" readingOrder="0" vertical="center"/>
    </xf>
    <xf borderId="7" fillId="3" fontId="25" numFmtId="0" xfId="0" applyAlignment="1" applyBorder="1" applyFill="1" applyFont="1">
      <alignment horizontal="center" readingOrder="0" vertical="center"/>
    </xf>
    <xf borderId="135" fillId="19" fontId="1" numFmtId="0" xfId="0" applyAlignment="1" applyBorder="1" applyFill="1" applyFont="1">
      <alignment horizontal="center" readingOrder="0" vertical="center"/>
    </xf>
    <xf borderId="136" fillId="0" fontId="3" numFmtId="0" xfId="0" applyBorder="1" applyFont="1"/>
    <xf borderId="42" fillId="0" fontId="12" numFmtId="0" xfId="0" applyAlignment="1" applyBorder="1" applyFont="1">
      <alignment horizontal="center" readingOrder="0" shrinkToFit="0" vertical="top" wrapText="1"/>
    </xf>
    <xf borderId="135" fillId="20" fontId="1" numFmtId="10" xfId="0" applyAlignment="1" applyBorder="1" applyFill="1" applyFont="1" applyNumberFormat="1">
      <alignment horizontal="center" readingOrder="0" vertical="center"/>
    </xf>
    <xf borderId="69" fillId="2" fontId="1" numFmtId="0" xfId="0" applyAlignment="1" applyBorder="1" applyFill="1" applyFont="1">
      <alignment horizontal="center" readingOrder="0" shrinkToFit="0" vertical="center" wrapText="1"/>
    </xf>
    <xf borderId="137" fillId="8" fontId="12" numFmtId="0" xfId="0" applyAlignment="1" applyBorder="1" applyFill="1" applyFont="1">
      <alignment horizontal="center" readingOrder="0" shrinkToFit="0" vertical="center" wrapText="1"/>
    </xf>
    <xf borderId="138" fillId="8" fontId="12" numFmtId="0" xfId="0" applyAlignment="1" applyBorder="1" applyFill="1" applyFont="1">
      <alignment horizontal="center" readingOrder="0" shrinkToFit="0" vertical="center" wrapText="1"/>
    </xf>
    <xf borderId="137" fillId="3" fontId="33" numFmtId="0" xfId="0" applyAlignment="1" applyBorder="1" applyFill="1" applyFont="1">
      <alignment horizontal="center" readingOrder="0" shrinkToFit="0" vertical="center" wrapText="1"/>
    </xf>
    <xf borderId="50" fillId="8" fontId="12" numFmtId="0" xfId="0" applyAlignment="1" applyBorder="1" applyFill="1" applyFont="1">
      <alignment horizontal="center" readingOrder="0" shrinkToFit="0" vertical="center" wrapText="1"/>
    </xf>
    <xf borderId="0" fillId="15" fontId="34" numFmtId="0" xfId="0" applyAlignment="1" applyFill="1" applyFont="1">
      <alignment horizontal="center" readingOrder="0" shrinkToFit="0" vertical="center" wrapText="1"/>
    </xf>
    <xf borderId="100" fillId="8" fontId="12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35" fillId="19" fontId="12" numFmtId="0" xfId="0" applyAlignment="1" applyBorder="1" applyFill="1" applyFont="1">
      <alignment horizontal="center" readingOrder="0" vertical="center"/>
    </xf>
    <xf borderId="139" fillId="8" fontId="12" numFmtId="0" xfId="0" applyAlignment="1" applyBorder="1" applyFill="1" applyFont="1">
      <alignment horizontal="center" readingOrder="0" shrinkToFit="0" vertical="top" wrapText="1"/>
    </xf>
    <xf borderId="140" fillId="0" fontId="3" numFmtId="0" xfId="0" applyBorder="1" applyFont="1"/>
    <xf borderId="141" fillId="0" fontId="3" numFmtId="0" xfId="0" applyBorder="1" applyFont="1"/>
    <xf borderId="142" fillId="19" fontId="1" numFmtId="0" xfId="0" applyAlignment="1" applyBorder="1" applyFill="1" applyFont="1">
      <alignment horizontal="center" readingOrder="0" vertical="center"/>
    </xf>
    <xf borderId="100" fillId="3" fontId="33" numFmtId="0" xfId="0" applyAlignment="1" applyBorder="1" applyFill="1" applyFont="1">
      <alignment horizontal="center" readingOrder="0" shrinkToFit="0" vertical="center" wrapText="1"/>
    </xf>
    <xf borderId="142" fillId="20" fontId="1" numFmtId="10" xfId="0" applyAlignment="1" applyBorder="1" applyFill="1" applyFont="1" applyNumberFormat="1">
      <alignment horizontal="center" readingOrder="0" vertical="center"/>
    </xf>
    <xf borderId="5" fillId="0" fontId="1" numFmtId="0" xfId="0" applyBorder="1" applyFont="1"/>
    <xf borderId="4" fillId="0" fontId="1" numFmtId="9" xfId="0" applyAlignment="1" applyBorder="1" applyFont="1" applyNumberFormat="1">
      <alignment horizontal="center" readingOrder="0" shrinkToFit="0" vertical="center" wrapText="1"/>
    </xf>
    <xf borderId="72" fillId="0" fontId="1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vertical="center"/>
    </xf>
    <xf borderId="138" fillId="0" fontId="3" numFmtId="0" xfId="0" applyBorder="1" applyFont="1"/>
    <xf borderId="50" fillId="11" fontId="1" numFmtId="0" xfId="0" applyAlignment="1" applyBorder="1" applyFill="1" applyFont="1">
      <alignment horizontal="center" readingOrder="0" shrinkToFit="0" vertical="center" wrapText="1"/>
    </xf>
    <xf borderId="69" fillId="0" fontId="12" numFmtId="0" xfId="0" applyAlignment="1" applyBorder="1" applyFont="1">
      <alignment horizontal="center" readingOrder="0" shrinkToFit="0" vertical="center" wrapText="1"/>
    </xf>
    <xf borderId="138" fillId="11" fontId="35" numFmtId="0" xfId="0" applyAlignment="1" applyBorder="1" applyFill="1" applyFont="1">
      <alignment horizontal="center" readingOrder="0" vertical="center"/>
    </xf>
    <xf borderId="0" fillId="3" fontId="33" numFmtId="0" xfId="0" applyAlignment="1" applyFill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top" wrapText="1"/>
    </xf>
    <xf borderId="143" fillId="11" fontId="35" numFmtId="0" xfId="0" applyAlignment="1" applyBorder="1" applyFill="1" applyFont="1">
      <alignment horizontal="center" readingOrder="0" vertical="center"/>
    </xf>
    <xf borderId="69" fillId="2" fontId="12" numFmtId="0" xfId="0" applyAlignment="1" applyBorder="1" applyFill="1" applyFont="1">
      <alignment horizontal="center" readingOrder="0" shrinkToFit="0" vertical="center" wrapText="1"/>
    </xf>
    <xf borderId="69" fillId="0" fontId="12" numFmtId="0" xfId="0" applyAlignment="1" applyBorder="1" applyFont="1">
      <alignment horizontal="center" readingOrder="0" vertical="center"/>
    </xf>
    <xf borderId="144" fillId="11" fontId="35" numFmtId="166" xfId="0" applyAlignment="1" applyBorder="1" applyFill="1" applyFont="1" applyNumberFormat="1">
      <alignment horizontal="center" readingOrder="0" vertical="center"/>
    </xf>
    <xf borderId="143" fillId="20" fontId="36" numFmtId="9" xfId="0" applyAlignment="1" applyBorder="1" applyFill="1" applyFont="1" applyNumberFormat="1">
      <alignment horizontal="center" readingOrder="0" vertical="center"/>
    </xf>
    <xf borderId="0" fillId="15" fontId="12" numFmtId="0" xfId="0" applyAlignment="1" applyFill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top" wrapText="1"/>
    </xf>
    <xf borderId="143" fillId="20" fontId="36" numFmtId="10" xfId="0" applyAlignment="1" applyBorder="1" applyFill="1" applyFont="1" applyNumberFormat="1">
      <alignment horizontal="center" readingOrder="0" vertical="center"/>
    </xf>
    <xf borderId="0" fillId="15" fontId="12" numFmtId="10" xfId="0" applyAlignment="1" applyFill="1" applyFont="1" applyNumberFormat="1">
      <alignment horizontal="center" readingOrder="0" vertical="center"/>
    </xf>
    <xf borderId="6" fillId="0" fontId="1" numFmtId="0" xfId="0" applyBorder="1" applyFont="1"/>
    <xf borderId="145" fillId="20" fontId="35" numFmtId="0" xfId="0" applyAlignment="1" applyBorder="1" applyFill="1" applyFont="1">
      <alignment horizontal="center" readingOrder="0" vertical="center"/>
    </xf>
    <xf borderId="146" fillId="0" fontId="3" numFmtId="0" xfId="0" applyBorder="1" applyFont="1"/>
    <xf borderId="0" fillId="0" fontId="31" numFmtId="0" xfId="0" applyAlignment="1" applyFont="1">
      <alignment horizontal="center" readingOrder="0" shrinkToFit="0" vertical="center" wrapText="1"/>
    </xf>
    <xf borderId="23" fillId="3" fontId="25" numFmtId="0" xfId="0" applyAlignment="1" applyBorder="1" applyFill="1" applyFont="1">
      <alignment horizontal="center" readingOrder="0" shrinkToFit="0" vertical="top" wrapText="1"/>
    </xf>
    <xf borderId="71" fillId="13" fontId="20" numFmtId="3" xfId="0" applyAlignment="1" applyBorder="1" applyFill="1" applyFont="1" applyNumberFormat="1">
      <alignment horizontal="center" readingOrder="0" vertical="center"/>
    </xf>
    <xf borderId="47" fillId="0" fontId="1" numFmtId="10" xfId="0" applyAlignment="1" applyBorder="1" applyFont="1" applyNumberFormat="1">
      <alignment horizontal="center"/>
    </xf>
    <xf borderId="69" fillId="0" fontId="1" numFmtId="0" xfId="0" applyAlignment="1" applyBorder="1" applyFont="1">
      <alignment horizontal="center" vertical="center"/>
    </xf>
    <xf borderId="0" fillId="15" fontId="1" numFmtId="0" xfId="0" applyAlignment="1" applyFill="1" applyFont="1">
      <alignment horizontal="center" readingOrder="0" shrinkToFit="0" vertical="center" wrapText="1"/>
    </xf>
    <xf borderId="22" fillId="3" fontId="25" numFmtId="0" xfId="0" applyAlignment="1" applyBorder="1" applyFill="1" applyFont="1">
      <alignment horizontal="center" readingOrder="0" shrinkToFit="0" vertical="top" wrapText="1"/>
    </xf>
    <xf borderId="56" fillId="15" fontId="1" numFmtId="0" xfId="0" applyAlignment="1" applyBorder="1" applyFill="1" applyFont="1">
      <alignment horizontal="left" readingOrder="0" shrinkToFit="0" vertical="center" wrapText="1"/>
    </xf>
    <xf borderId="147" fillId="0" fontId="31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vertical="center"/>
    </xf>
    <xf borderId="147" fillId="0" fontId="3" numFmtId="0" xfId="0" applyBorder="1" applyFont="1"/>
    <xf borderId="148" fillId="0" fontId="3" numFmtId="0" xfId="0" applyBorder="1" applyFont="1"/>
    <xf borderId="145" fillId="21" fontId="3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44" fillId="21" fontId="22" numFmtId="1" xfId="0" applyAlignment="1" applyBorder="1" applyFill="1" applyFont="1" applyNumberFormat="1">
      <alignment horizontal="center" readingOrder="0" vertical="center"/>
    </xf>
    <xf borderId="149" fillId="15" fontId="1" numFmtId="0" xfId="0" applyAlignment="1" applyBorder="1" applyFill="1" applyFont="1">
      <alignment horizontal="center" readingOrder="0" shrinkToFit="0" vertical="center" wrapText="1"/>
    </xf>
    <xf borderId="69" fillId="2" fontId="19" numFmtId="0" xfId="0" applyBorder="1" applyFill="1" applyFont="1"/>
    <xf borderId="150" fillId="0" fontId="3" numFmtId="0" xfId="0" applyBorder="1" applyFont="1"/>
    <xf borderId="145" fillId="21" fontId="31" numFmtId="0" xfId="0" applyAlignment="1" applyBorder="1" applyFill="1" applyFont="1">
      <alignment horizontal="center" readingOrder="0" vertical="center"/>
    </xf>
    <xf borderId="4" fillId="0" fontId="19" numFmtId="0" xfId="0" applyBorder="1" applyFont="1"/>
    <xf borderId="4" fillId="0" fontId="37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69" fillId="14" fontId="38" numFmtId="0" xfId="0" applyAlignment="1" applyBorder="1" applyFill="1" applyFont="1">
      <alignment horizontal="center" readingOrder="0" vertical="center"/>
    </xf>
    <xf borderId="3" fillId="0" fontId="19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69" fillId="0" fontId="19" numFmtId="0" xfId="0" applyBorder="1" applyFont="1"/>
    <xf borderId="151" fillId="3" fontId="25" numFmtId="0" xfId="0" applyAlignment="1" applyBorder="1" applyFill="1" applyFont="1">
      <alignment horizontal="center" readingOrder="0" shrinkToFit="0" vertical="top" wrapText="1"/>
    </xf>
    <xf borderId="91" fillId="0" fontId="19" numFmtId="0" xfId="0" applyBorder="1" applyFont="1"/>
    <xf borderId="152" fillId="0" fontId="3" numFmtId="0" xfId="0" applyBorder="1" applyFont="1"/>
    <xf borderId="1" fillId="0" fontId="19" numFmtId="0" xfId="0" applyBorder="1" applyFont="1"/>
    <xf borderId="153" fillId="0" fontId="3" numFmtId="0" xfId="0" applyBorder="1" applyFont="1"/>
    <xf borderId="7" fillId="3" fontId="39" numFmtId="0" xfId="0" applyAlignment="1" applyBorder="1" applyFill="1" applyFont="1">
      <alignment horizontal="center" readingOrder="0" shrinkToFit="0" vertical="center" wrapText="1"/>
    </xf>
    <xf borderId="154" fillId="0" fontId="3" numFmtId="0" xfId="0" applyBorder="1" applyFont="1"/>
    <xf borderId="155" fillId="0" fontId="19" numFmtId="0" xfId="0" applyBorder="1" applyFont="1"/>
    <xf borderId="156" fillId="0" fontId="3" numFmtId="0" xfId="0" applyBorder="1" applyFont="1"/>
    <xf borderId="157" fillId="2" fontId="13" numFmtId="0" xfId="0" applyAlignment="1" applyBorder="1" applyFill="1" applyFont="1">
      <alignment horizontal="left" readingOrder="0" shrinkToFit="0" vertical="center" wrapText="1"/>
    </xf>
    <xf borderId="157" fillId="0" fontId="3" numFmtId="0" xfId="0" applyBorder="1" applyFont="1"/>
    <xf borderId="158" fillId="0" fontId="3" numFmtId="0" xfId="0" applyBorder="1" applyFont="1"/>
    <xf borderId="69" fillId="0" fontId="1" numFmtId="0" xfId="0" applyAlignment="1" applyBorder="1" applyFont="1">
      <alignment horizontal="center" readingOrder="0" shrinkToFit="0" vertical="center" wrapText="1"/>
    </xf>
    <xf borderId="16" fillId="4" fontId="40" numFmtId="0" xfId="0" applyAlignment="1" applyBorder="1" applyFill="1" applyFont="1">
      <alignment horizontal="center" readingOrder="0" vertical="center"/>
    </xf>
    <xf borderId="159" fillId="0" fontId="3" numFmtId="0" xfId="0" applyBorder="1" applyFont="1"/>
    <xf borderId="160" fillId="0" fontId="3" numFmtId="0" xfId="0" applyBorder="1" applyFont="1"/>
    <xf borderId="161" fillId="0" fontId="3" numFmtId="0" xfId="0" applyBorder="1" applyFont="1"/>
    <xf borderId="162" fillId="0" fontId="3" numFmtId="0" xfId="0" applyBorder="1" applyFont="1"/>
    <xf borderId="163" fillId="0" fontId="19" numFmtId="0" xfId="0" applyBorder="1" applyFont="1"/>
    <xf borderId="91" fillId="0" fontId="41" numFmtId="0" xfId="0" applyAlignment="1" applyBorder="1" applyFont="1">
      <alignment horizontal="center" readingOrder="0" vertical="center"/>
    </xf>
    <xf borderId="164" fillId="0" fontId="41" numFmtId="0" xfId="0" applyAlignment="1" applyBorder="1" applyFont="1">
      <alignment horizontal="center" readingOrder="0" vertical="center"/>
    </xf>
    <xf borderId="163" fillId="0" fontId="41" numFmtId="0" xfId="0" applyAlignment="1" applyBorder="1" applyFont="1">
      <alignment horizontal="center" readingOrder="0" vertical="center"/>
    </xf>
    <xf borderId="165" fillId="0" fontId="41" numFmtId="0" xfId="0" applyAlignment="1" applyBorder="1" applyFont="1">
      <alignment horizontal="center" readingOrder="0" vertical="center"/>
    </xf>
    <xf borderId="166" fillId="0" fontId="41" numFmtId="0" xfId="0" applyAlignment="1" applyBorder="1" applyFont="1">
      <alignment horizontal="center" readingOrder="0" vertical="center"/>
    </xf>
    <xf borderId="167" fillId="3" fontId="6" numFmtId="0" xfId="0" applyAlignment="1" applyBorder="1" applyFill="1" applyFont="1">
      <alignment horizontal="center" readingOrder="0" vertical="center"/>
    </xf>
    <xf borderId="167" fillId="0" fontId="3" numFmtId="0" xfId="0" applyBorder="1" applyFont="1"/>
    <xf borderId="168" fillId="0" fontId="3" numFmtId="0" xfId="0" applyBorder="1" applyFont="1"/>
    <xf borderId="169" fillId="0" fontId="3" numFmtId="0" xfId="0" applyBorder="1" applyFont="1"/>
    <xf borderId="170" fillId="0" fontId="3" numFmtId="0" xfId="0" applyBorder="1" applyFont="1"/>
    <xf borderId="171" fillId="0" fontId="3" numFmtId="0" xfId="0" applyBorder="1" applyFont="1"/>
    <xf borderId="5" fillId="0" fontId="42" numFmtId="0" xfId="0" applyAlignment="1" applyBorder="1" applyFont="1">
      <alignment readingOrder="0"/>
    </xf>
    <xf borderId="5" fillId="0" fontId="19" numFmtId="0" xfId="0" applyBorder="1" applyFont="1"/>
    <xf borderId="172" fillId="0" fontId="19" numFmtId="0" xfId="0" applyBorder="1" applyFont="1"/>
    <xf borderId="0" fillId="0" fontId="43" numFmtId="0" xfId="0" applyAlignment="1" applyFont="1">
      <alignment horizontal="center" readingOrder="0" vertical="center"/>
    </xf>
    <xf borderId="173" fillId="0" fontId="44" numFmtId="0" xfId="0" applyAlignment="1" applyBorder="1" applyFont="1">
      <alignment horizontal="center" readingOrder="0"/>
    </xf>
    <xf borderId="173" fillId="0" fontId="3" numFmtId="0" xfId="0" applyBorder="1" applyFont="1"/>
    <xf borderId="8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142875</xdr:rowOff>
    </xdr:from>
    <xdr:ext cx="790575" cy="3238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447675</xdr:colOff>
      <xdr:row>4</xdr:row>
      <xdr:rowOff>266700</xdr:rowOff>
    </xdr:from>
    <xdr:ext cx="2914650" cy="31337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1</xdr:row>
      <xdr:rowOff>123825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123825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133350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104775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114300</xdr:rowOff>
    </xdr:from>
    <xdr:ext cx="314325" cy="3333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35</xdr:row>
      <xdr:rowOff>9525</xdr:rowOff>
    </xdr:from>
    <xdr:ext cx="2571750" cy="533400"/>
    <xdr:sp>
      <xdr:nvSpPr>
        <xdr:cNvPr id="3" name="Shape 3"/>
        <xdr:cNvSpPr/>
      </xdr:nvSpPr>
      <xdr:spPr>
        <a:xfrm>
          <a:off x="1288325" y="1071975"/>
          <a:ext cx="2556900" cy="511500"/>
        </a:xfrm>
        <a:prstGeom prst="roundRect">
          <a:avLst>
            <a:gd fmla="val 16667" name="adj"/>
          </a:avLst>
        </a:prstGeom>
        <a:solidFill>
          <a:srgbClr val="EB7363"/>
        </a:solidFill>
        <a:ln cap="flat" cmpd="sng" w="9525">
          <a:solidFill>
            <a:srgbClr val="EB736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Inter"/>
              <a:ea typeface="Inter"/>
              <a:cs typeface="Inter"/>
              <a:sym typeface="Inter"/>
            </a:rPr>
            <a:t>Acessar material</a:t>
          </a:r>
          <a:endParaRPr sz="1400">
            <a:solidFill>
              <a:srgbClr val="FFFFFF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8</xdr:col>
      <xdr:colOff>152400</xdr:colOff>
      <xdr:row>35</xdr:row>
      <xdr:rowOff>9525</xdr:rowOff>
    </xdr:from>
    <xdr:ext cx="2571750" cy="533400"/>
    <xdr:sp>
      <xdr:nvSpPr>
        <xdr:cNvPr id="4" name="Shape 4"/>
        <xdr:cNvSpPr/>
      </xdr:nvSpPr>
      <xdr:spPr>
        <a:xfrm>
          <a:off x="1288325" y="1071975"/>
          <a:ext cx="2556900" cy="511500"/>
        </a:xfrm>
        <a:prstGeom prst="roundRect">
          <a:avLst>
            <a:gd fmla="val 16667" name="adj"/>
          </a:avLst>
        </a:prstGeom>
        <a:solidFill>
          <a:srgbClr val="EB736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Inter"/>
              <a:ea typeface="Inter"/>
              <a:cs typeface="Inter"/>
              <a:sym typeface="Inter"/>
            </a:rPr>
            <a:t>Acessar material</a:t>
          </a:r>
          <a:endParaRPr sz="1400">
            <a:solidFill>
              <a:srgbClr val="FFFFFF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1</xdr:col>
      <xdr:colOff>180975</xdr:colOff>
      <xdr:row>2</xdr:row>
      <xdr:rowOff>190500</xdr:rowOff>
    </xdr:from>
    <xdr:ext cx="228600" cy="238125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504825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504825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material-ebook-manual-admissao" TargetMode="External"/><Relationship Id="rId2" Type="http://schemas.openxmlformats.org/officeDocument/2006/relationships/hyperlink" Target="https://info.gupy.io/ebook-turnover" TargetMode="External"/><Relationship Id="rId3" Type="http://schemas.openxmlformats.org/officeDocument/2006/relationships/hyperlink" Target="https://info.gupy.io/planilha-custo-turnover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hyperlink" Target="https://www.gupy.io/blog/reduzir-custos-de-contratacao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demo/lm/demonstracao-clima-organizacional-engajamento?utm_source=material&amp;utm_campaign=planilha-dash-indicadores" TargetMode="External"/><Relationship Id="rId2" Type="http://schemas.openxmlformats.org/officeDocument/2006/relationships/hyperlink" Target="https://info.gupy.io/planilha-pesquisa-nps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material-ebook-estrategias-retencao-de-talento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hyperlink" Target="https://www.gupy.io/blog/absenteismo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upy.io/blog/como-anunciar-vagas-de-empreg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webinar-treinamento-e-desenvolviment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gupy.io/agendar-demonstracao?utm_source=material&amp;utm_campaign=planilha-dash-indicadores" TargetMode="External"/><Relationship Id="rId2" Type="http://schemas.openxmlformats.org/officeDocument/2006/relationships/hyperlink" Target="https://info.gupy.io/material-kit-planilhas-dp-rh" TargetMode="External"/><Relationship Id="rId3" Type="http://schemas.openxmlformats.org/officeDocument/2006/relationships/hyperlink" Target="https://info.gupy.io/material-ebook-indicadores-gupy" TargetMode="Externa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14.75"/>
    <col customWidth="1" min="8" max="8" width="18.75"/>
    <col customWidth="1" min="13" max="13" width="10.13"/>
    <col customWidth="1" min="14" max="14" width="7.63"/>
  </cols>
  <sheetData>
    <row r="1" ht="33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A2" s="11"/>
      <c r="B2" s="14" t="s">
        <v>1</v>
      </c>
      <c r="C2" s="15"/>
      <c r="D2" s="15"/>
      <c r="E2" s="15"/>
      <c r="F2" s="15"/>
      <c r="G2" s="15"/>
      <c r="H2" s="15"/>
      <c r="I2" s="15"/>
      <c r="J2" s="17"/>
      <c r="K2" s="31" t="s">
        <v>4</v>
      </c>
      <c r="L2" s="33"/>
      <c r="M2" s="36"/>
      <c r="N2" s="38"/>
    </row>
    <row r="3" ht="19.5" customHeight="1">
      <c r="A3" s="23"/>
      <c r="B3" s="42"/>
      <c r="J3" s="48"/>
      <c r="K3" s="50"/>
      <c r="M3" s="51"/>
      <c r="N3" s="52"/>
    </row>
    <row r="4" ht="12.0" customHeight="1">
      <c r="A4" s="23"/>
      <c r="B4" s="54"/>
      <c r="C4" s="57"/>
      <c r="D4" s="57"/>
      <c r="E4" s="57"/>
      <c r="F4" s="57"/>
      <c r="G4" s="57"/>
      <c r="H4" s="57"/>
      <c r="I4" s="57"/>
      <c r="J4" s="59"/>
      <c r="K4" s="61"/>
      <c r="L4" s="65"/>
      <c r="M4" s="66"/>
      <c r="N4" s="52"/>
    </row>
    <row r="5" ht="22.5" customHeight="1">
      <c r="A5" s="23"/>
      <c r="B5" s="70" t="s">
        <v>12</v>
      </c>
      <c r="D5" s="51"/>
      <c r="E5" s="74" t="s">
        <v>18</v>
      </c>
      <c r="H5" s="76"/>
      <c r="I5" s="78"/>
      <c r="L5" s="52"/>
      <c r="M5" s="80"/>
      <c r="N5" s="52"/>
    </row>
    <row r="6" ht="27.0" customHeight="1">
      <c r="A6" s="23"/>
      <c r="B6" s="61"/>
      <c r="C6" s="65"/>
      <c r="D6" s="66"/>
      <c r="E6" s="82"/>
      <c r="F6" s="82"/>
      <c r="G6" s="82"/>
      <c r="H6" s="83"/>
      <c r="I6" s="85"/>
      <c r="L6" s="52"/>
      <c r="M6" s="87"/>
      <c r="N6" s="52"/>
    </row>
    <row r="7" ht="22.5" customHeight="1">
      <c r="A7" s="23"/>
      <c r="B7" s="89" t="s">
        <v>22</v>
      </c>
      <c r="C7" s="33"/>
      <c r="D7" s="36"/>
      <c r="E7" s="93" t="s">
        <v>23</v>
      </c>
      <c r="F7" s="95"/>
      <c r="G7" s="95"/>
      <c r="H7" s="98"/>
      <c r="I7" s="85"/>
      <c r="L7" s="52"/>
      <c r="M7" s="87"/>
      <c r="N7" s="52"/>
    </row>
    <row r="8" ht="58.5" customHeight="1">
      <c r="A8" s="23"/>
      <c r="B8" s="61"/>
      <c r="C8" s="65"/>
      <c r="D8" s="66"/>
      <c r="E8" s="102"/>
      <c r="F8" s="82"/>
      <c r="G8" s="82"/>
      <c r="H8" s="83"/>
      <c r="I8" s="85"/>
      <c r="L8" s="52"/>
      <c r="M8" s="87"/>
      <c r="N8" s="52"/>
    </row>
    <row r="9" ht="135.0" customHeight="1">
      <c r="A9" s="23"/>
      <c r="B9" s="89" t="s">
        <v>26</v>
      </c>
      <c r="C9" s="33"/>
      <c r="D9" s="36"/>
      <c r="E9" s="107" t="s">
        <v>27</v>
      </c>
      <c r="F9" s="95"/>
      <c r="G9" s="95"/>
      <c r="H9" s="98"/>
      <c r="I9" s="85"/>
      <c r="L9" s="52"/>
      <c r="M9" s="87"/>
      <c r="N9" s="52"/>
    </row>
    <row r="10" ht="22.5" customHeight="1">
      <c r="A10" s="23"/>
      <c r="B10" s="61"/>
      <c r="C10" s="65"/>
      <c r="D10" s="66"/>
      <c r="E10" s="82"/>
      <c r="F10" s="82"/>
      <c r="G10" s="82"/>
      <c r="H10" s="83"/>
      <c r="I10" s="85"/>
      <c r="L10" s="52"/>
      <c r="M10" s="87"/>
      <c r="N10" s="52"/>
    </row>
    <row r="11" ht="22.5" customHeight="1">
      <c r="A11" s="23"/>
      <c r="B11" s="110" t="s">
        <v>29</v>
      </c>
      <c r="C11" s="33"/>
      <c r="D11" s="36"/>
      <c r="E11" s="111" t="s">
        <v>30</v>
      </c>
      <c r="F11" s="113"/>
      <c r="G11" s="113"/>
      <c r="H11" s="114"/>
      <c r="I11" s="85"/>
      <c r="L11" s="52"/>
      <c r="M11" s="87"/>
      <c r="N11" s="52"/>
    </row>
    <row r="12" ht="41.25" customHeight="1">
      <c r="A12" s="23"/>
      <c r="B12" s="61"/>
      <c r="C12" s="65"/>
      <c r="D12" s="66"/>
      <c r="E12" s="115"/>
      <c r="F12" s="115"/>
      <c r="G12" s="115"/>
      <c r="H12" s="116"/>
      <c r="I12" s="117"/>
      <c r="J12" s="118"/>
      <c r="K12" s="118"/>
      <c r="L12" s="119"/>
      <c r="M12" s="120"/>
      <c r="N12" s="52"/>
    </row>
    <row r="13">
      <c r="A13" s="23"/>
      <c r="B13" s="123" t="s">
        <v>31</v>
      </c>
      <c r="C13" s="125"/>
      <c r="D13" s="125"/>
      <c r="E13" s="125"/>
      <c r="F13" s="125"/>
      <c r="G13" s="125"/>
      <c r="H13" s="127"/>
      <c r="I13" s="129"/>
      <c r="J13" s="130"/>
      <c r="K13" s="130"/>
      <c r="L13" s="130"/>
      <c r="M13" s="130"/>
      <c r="N13" s="131"/>
    </row>
    <row r="14" ht="30.0" customHeight="1">
      <c r="A14" s="134"/>
      <c r="B14" s="139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31"/>
    </row>
  </sheetData>
  <mergeCells count="16">
    <mergeCell ref="B5:D6"/>
    <mergeCell ref="B7:D8"/>
    <mergeCell ref="E7:H8"/>
    <mergeCell ref="B9:D10"/>
    <mergeCell ref="E9:H10"/>
    <mergeCell ref="B11:D12"/>
    <mergeCell ref="E11:H12"/>
    <mergeCell ref="B13:H13"/>
    <mergeCell ref="B14:N14"/>
    <mergeCell ref="A1:N1"/>
    <mergeCell ref="A2:A14"/>
    <mergeCell ref="B2:J4"/>
    <mergeCell ref="K2:M4"/>
    <mergeCell ref="N2:N13"/>
    <mergeCell ref="E5:H6"/>
    <mergeCell ref="I5:L12"/>
  </mergeCells>
  <hyperlinks>
    <hyperlink r:id="rId1" ref="K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7.5"/>
    <col customWidth="1" min="3" max="3" width="18.25"/>
    <col customWidth="1" min="4" max="4" width="16.13"/>
    <col customWidth="1" min="5" max="5" width="9.0"/>
  </cols>
  <sheetData>
    <row r="1" ht="36.0" customHeight="1">
      <c r="A1" s="1"/>
      <c r="B1" s="3"/>
      <c r="C1" s="3"/>
      <c r="D1" s="3"/>
      <c r="E1" s="3"/>
      <c r="F1" s="3"/>
      <c r="G1" s="3"/>
      <c r="H1" s="4"/>
      <c r="I1" s="5"/>
    </row>
    <row r="2">
      <c r="A2" s="13"/>
      <c r="B2" s="9" t="s">
        <v>3</v>
      </c>
      <c r="C2" s="10"/>
      <c r="D2" s="10"/>
      <c r="E2" s="10"/>
      <c r="F2" s="12"/>
      <c r="G2" s="20" t="s">
        <v>5</v>
      </c>
      <c r="H2" s="22"/>
      <c r="I2" s="18"/>
    </row>
    <row r="3">
      <c r="A3" s="23"/>
      <c r="B3" s="25"/>
      <c r="F3" s="26"/>
      <c r="G3" s="27"/>
      <c r="H3" s="28"/>
      <c r="I3" s="18"/>
    </row>
    <row r="4">
      <c r="A4" s="23"/>
      <c r="B4" s="29"/>
      <c r="C4" s="30"/>
      <c r="D4" s="30"/>
      <c r="E4" s="30"/>
      <c r="F4" s="32"/>
      <c r="G4" s="34"/>
      <c r="H4" s="35"/>
      <c r="I4" s="18"/>
    </row>
    <row r="5">
      <c r="A5" s="23"/>
      <c r="B5" s="37" t="s">
        <v>8</v>
      </c>
      <c r="C5" s="39" t="s">
        <v>9</v>
      </c>
      <c r="D5" s="40"/>
      <c r="E5" s="41"/>
      <c r="F5" s="44" t="s">
        <v>10</v>
      </c>
      <c r="G5" s="45"/>
      <c r="H5" s="46"/>
      <c r="I5" s="18"/>
    </row>
    <row r="6">
      <c r="A6" s="23"/>
      <c r="B6" s="47"/>
      <c r="C6" s="49">
        <v>45170.0</v>
      </c>
      <c r="D6" s="40"/>
      <c r="E6" s="41"/>
      <c r="F6" s="55">
        <v>45199.0</v>
      </c>
      <c r="G6" s="45"/>
      <c r="H6" s="46"/>
      <c r="I6" s="18"/>
    </row>
    <row r="7">
      <c r="A7" s="23"/>
      <c r="B7" s="56"/>
      <c r="C7" s="58"/>
      <c r="D7" s="58"/>
      <c r="E7" s="63"/>
      <c r="F7" s="64"/>
      <c r="G7" s="64"/>
      <c r="H7" s="64"/>
      <c r="I7" s="18"/>
    </row>
    <row r="8">
      <c r="A8" s="23"/>
      <c r="B8" s="71" t="s">
        <v>13</v>
      </c>
      <c r="C8" s="73" t="s">
        <v>17</v>
      </c>
      <c r="D8" s="69"/>
      <c r="E8" s="97"/>
      <c r="F8" s="99" t="s">
        <v>25</v>
      </c>
      <c r="G8" s="101"/>
      <c r="H8" s="103"/>
      <c r="I8" s="18"/>
    </row>
    <row r="9">
      <c r="A9" s="23"/>
      <c r="B9" s="106"/>
      <c r="C9" s="79"/>
      <c r="D9" s="81"/>
      <c r="E9" s="97"/>
      <c r="F9" s="105"/>
      <c r="G9" s="108"/>
      <c r="H9" s="109"/>
      <c r="I9" s="18"/>
    </row>
    <row r="10">
      <c r="A10" s="23"/>
      <c r="B10" s="112">
        <v>10.0</v>
      </c>
      <c r="C10" s="88">
        <v>7.0</v>
      </c>
      <c r="D10" s="69"/>
      <c r="E10" s="97"/>
      <c r="F10" s="122">
        <f>(B10+C10)/2/B17</f>
        <v>0.085</v>
      </c>
      <c r="G10" s="101"/>
      <c r="H10" s="103"/>
      <c r="I10" s="18"/>
    </row>
    <row r="11">
      <c r="A11" s="23"/>
      <c r="B11" s="132"/>
      <c r="C11" s="91"/>
      <c r="D11" s="92"/>
      <c r="E11" s="97"/>
      <c r="F11" s="126"/>
      <c r="H11" s="128"/>
      <c r="I11" s="18"/>
    </row>
    <row r="12">
      <c r="A12" s="23"/>
      <c r="B12" s="132"/>
      <c r="C12" s="91"/>
      <c r="D12" s="92"/>
      <c r="E12" s="97"/>
      <c r="F12" s="126"/>
      <c r="H12" s="128"/>
      <c r="I12" s="18"/>
    </row>
    <row r="13">
      <c r="A13" s="23"/>
      <c r="B13" s="106"/>
      <c r="C13" s="79"/>
      <c r="D13" s="81"/>
      <c r="E13" s="136"/>
      <c r="F13" s="105"/>
      <c r="G13" s="108"/>
      <c r="H13" s="109"/>
      <c r="I13" s="18"/>
    </row>
    <row r="14">
      <c r="A14" s="23"/>
      <c r="B14" s="64"/>
      <c r="C14" s="64"/>
      <c r="D14" s="64"/>
      <c r="E14" s="140"/>
      <c r="F14" s="64"/>
      <c r="G14" s="64"/>
      <c r="H14" s="64"/>
      <c r="I14" s="18"/>
    </row>
    <row r="15">
      <c r="A15" s="23"/>
      <c r="B15" s="68" t="s">
        <v>36</v>
      </c>
      <c r="C15" s="145"/>
      <c r="D15" s="69"/>
      <c r="E15" s="97"/>
      <c r="F15" s="147" t="s">
        <v>38</v>
      </c>
      <c r="G15" s="137"/>
      <c r="H15" s="138"/>
      <c r="I15" s="18"/>
    </row>
    <row r="16">
      <c r="A16" s="23"/>
      <c r="B16" s="79"/>
      <c r="C16" s="149"/>
      <c r="D16" s="81"/>
      <c r="E16" s="150"/>
      <c r="F16" s="152" t="s">
        <v>39</v>
      </c>
      <c r="G16" s="152" t="s">
        <v>40</v>
      </c>
      <c r="H16" s="154" t="s">
        <v>41</v>
      </c>
      <c r="I16" s="18"/>
    </row>
    <row r="17">
      <c r="A17" s="23"/>
      <c r="B17" s="88">
        <v>100.0</v>
      </c>
      <c r="C17" s="145"/>
      <c r="D17" s="69"/>
      <c r="E17" s="150"/>
      <c r="F17" s="155">
        <v>0.084</v>
      </c>
      <c r="G17" s="155">
        <v>0.089</v>
      </c>
      <c r="H17" s="156">
        <v>0.09</v>
      </c>
      <c r="I17" s="18"/>
    </row>
    <row r="18">
      <c r="A18" s="23"/>
      <c r="B18" s="91"/>
      <c r="D18" s="92"/>
      <c r="E18" s="150"/>
      <c r="F18" s="152" t="s">
        <v>42</v>
      </c>
      <c r="G18" s="152" t="s">
        <v>43</v>
      </c>
      <c r="H18" s="154" t="s">
        <v>44</v>
      </c>
      <c r="I18" s="18"/>
    </row>
    <row r="19">
      <c r="A19" s="23"/>
      <c r="B19" s="91"/>
      <c r="D19" s="92"/>
      <c r="E19" s="150"/>
      <c r="F19" s="157">
        <v>0.0</v>
      </c>
      <c r="G19" s="157">
        <v>0.0</v>
      </c>
      <c r="H19" s="158">
        <v>0.0</v>
      </c>
      <c r="I19" s="18"/>
    </row>
    <row r="20">
      <c r="A20" s="23"/>
      <c r="B20" s="79"/>
      <c r="C20" s="149"/>
      <c r="D20" s="81"/>
      <c r="E20" s="150"/>
      <c r="F20" s="152" t="s">
        <v>48</v>
      </c>
      <c r="G20" s="152" t="s">
        <v>49</v>
      </c>
      <c r="H20" s="154" t="s">
        <v>50</v>
      </c>
      <c r="I20" s="18"/>
    </row>
    <row r="21">
      <c r="A21" s="23"/>
      <c r="B21" s="64"/>
      <c r="C21" s="133"/>
      <c r="D21" s="133"/>
      <c r="E21" s="160"/>
      <c r="F21" s="157">
        <v>0.0</v>
      </c>
      <c r="G21" s="157">
        <v>0.0</v>
      </c>
      <c r="H21" s="158">
        <v>0.0</v>
      </c>
      <c r="I21" s="18"/>
    </row>
    <row r="22">
      <c r="A22" s="23"/>
      <c r="B22" s="135" t="s">
        <v>52</v>
      </c>
      <c r="C22" s="137"/>
      <c r="D22" s="138"/>
      <c r="E22" s="150"/>
      <c r="F22" s="152" t="s">
        <v>53</v>
      </c>
      <c r="G22" s="152" t="s">
        <v>54</v>
      </c>
      <c r="H22" s="154" t="s">
        <v>55</v>
      </c>
      <c r="I22" s="18"/>
    </row>
    <row r="23">
      <c r="A23" s="23"/>
      <c r="B23" s="165" t="s">
        <v>57</v>
      </c>
      <c r="D23" s="143"/>
      <c r="E23" s="72"/>
      <c r="F23" s="169">
        <v>0.0</v>
      </c>
      <c r="G23" s="169">
        <v>0.0</v>
      </c>
      <c r="H23" s="172">
        <v>0.0</v>
      </c>
      <c r="I23" s="18"/>
    </row>
    <row r="24">
      <c r="A24" s="23"/>
      <c r="B24" s="85"/>
      <c r="D24" s="143"/>
      <c r="E24" s="72"/>
      <c r="F24" s="175" t="s">
        <v>19</v>
      </c>
      <c r="G24" s="177"/>
      <c r="H24" s="77"/>
      <c r="I24" s="18"/>
    </row>
    <row r="25">
      <c r="A25" s="23"/>
      <c r="B25" s="85"/>
      <c r="D25" s="143"/>
      <c r="E25" s="72"/>
      <c r="F25" s="179">
        <v>0.06</v>
      </c>
      <c r="G25" s="180"/>
      <c r="H25" s="181"/>
      <c r="I25" s="18"/>
    </row>
    <row r="26">
      <c r="A26" s="23"/>
      <c r="B26" s="85"/>
      <c r="D26" s="143"/>
      <c r="E26" s="94"/>
      <c r="F26" s="62"/>
      <c r="G26" s="62"/>
      <c r="H26" s="62"/>
      <c r="I26" s="18"/>
    </row>
    <row r="27" ht="24.0" customHeight="1">
      <c r="A27" s="23"/>
      <c r="B27" s="117"/>
      <c r="C27" s="118"/>
      <c r="D27" s="146"/>
      <c r="E27" s="94"/>
      <c r="F27" s="96"/>
      <c r="G27" s="96"/>
      <c r="H27" s="96"/>
      <c r="I27" s="18"/>
    </row>
    <row r="28">
      <c r="A28" s="23"/>
      <c r="B28" s="186" t="s">
        <v>67</v>
      </c>
      <c r="C28" s="187"/>
      <c r="D28" s="188"/>
      <c r="E28" s="94"/>
      <c r="F28" s="96"/>
      <c r="G28" s="96"/>
      <c r="H28" s="96"/>
      <c r="I28" s="18"/>
    </row>
    <row r="29">
      <c r="A29" s="23"/>
      <c r="B29" s="62"/>
      <c r="C29" s="62"/>
      <c r="D29" s="62"/>
      <c r="E29" s="96"/>
      <c r="F29" s="96"/>
      <c r="G29" s="96"/>
      <c r="H29" s="96"/>
      <c r="I29" s="18"/>
    </row>
    <row r="30">
      <c r="A30" s="23"/>
      <c r="B30" s="189"/>
      <c r="C30" s="189"/>
      <c r="D30" s="189"/>
      <c r="E30" s="189"/>
      <c r="F30" s="189"/>
      <c r="G30" s="189"/>
      <c r="H30" s="189"/>
      <c r="I30" s="18"/>
    </row>
    <row r="31">
      <c r="A31" s="134"/>
      <c r="B31" s="104"/>
      <c r="C31" s="3"/>
      <c r="D31" s="3"/>
      <c r="E31" s="3"/>
      <c r="F31" s="3"/>
      <c r="G31" s="3"/>
      <c r="H31" s="4"/>
      <c r="I31" s="148"/>
    </row>
  </sheetData>
  <mergeCells count="25">
    <mergeCell ref="F10:H13"/>
    <mergeCell ref="B15:D16"/>
    <mergeCell ref="F15:H15"/>
    <mergeCell ref="A1:H1"/>
    <mergeCell ref="I1:I31"/>
    <mergeCell ref="A2:A31"/>
    <mergeCell ref="B2:F4"/>
    <mergeCell ref="G2:H4"/>
    <mergeCell ref="F5:H5"/>
    <mergeCell ref="F6:H6"/>
    <mergeCell ref="C5:E5"/>
    <mergeCell ref="C6:E6"/>
    <mergeCell ref="B5:B6"/>
    <mergeCell ref="B8:B9"/>
    <mergeCell ref="C8:D9"/>
    <mergeCell ref="F8:H9"/>
    <mergeCell ref="B10:B13"/>
    <mergeCell ref="C10:D13"/>
    <mergeCell ref="B17:D20"/>
    <mergeCell ref="B22:D22"/>
    <mergeCell ref="B23:D27"/>
    <mergeCell ref="F24:H24"/>
    <mergeCell ref="F25:H25"/>
    <mergeCell ref="B28:D28"/>
    <mergeCell ref="B31:H31"/>
  </mergeCells>
  <conditionalFormatting sqref="E8:E13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G2"/>
    <hyperlink r:id="rId2" ref="B23"/>
    <hyperlink r:id="rId3" ref="B2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7.5"/>
    <col customWidth="1" min="3" max="3" width="18.25"/>
    <col customWidth="1" min="4" max="4" width="16.13"/>
    <col customWidth="1" min="5" max="5" width="9.0"/>
    <col customWidth="1" min="9" max="9" width="6.88"/>
  </cols>
  <sheetData>
    <row r="1" ht="29.25" customHeight="1">
      <c r="A1" s="1"/>
      <c r="B1" s="3"/>
      <c r="C1" s="3"/>
      <c r="D1" s="3"/>
      <c r="E1" s="3"/>
      <c r="F1" s="3"/>
      <c r="G1" s="3"/>
      <c r="H1" s="3"/>
      <c r="I1" s="4"/>
    </row>
    <row r="2">
      <c r="A2" s="6"/>
      <c r="B2" s="9" t="s">
        <v>0</v>
      </c>
      <c r="C2" s="10"/>
      <c r="D2" s="10"/>
      <c r="E2" s="10"/>
      <c r="F2" s="12"/>
      <c r="G2" s="21" t="s">
        <v>2</v>
      </c>
      <c r="H2" s="22"/>
      <c r="I2" s="24"/>
    </row>
    <row r="3">
      <c r="A3" s="23"/>
      <c r="B3" s="25"/>
      <c r="F3" s="26"/>
      <c r="G3" s="27"/>
      <c r="H3" s="28"/>
      <c r="I3" s="18"/>
    </row>
    <row r="4">
      <c r="A4" s="23"/>
      <c r="B4" s="29"/>
      <c r="C4" s="30"/>
      <c r="D4" s="30"/>
      <c r="E4" s="30"/>
      <c r="F4" s="32"/>
      <c r="G4" s="34"/>
      <c r="H4" s="35"/>
      <c r="I4" s="18"/>
    </row>
    <row r="5">
      <c r="A5" s="23"/>
      <c r="B5" s="37" t="s">
        <v>8</v>
      </c>
      <c r="C5" s="39" t="s">
        <v>9</v>
      </c>
      <c r="D5" s="40"/>
      <c r="E5" s="41"/>
      <c r="F5" s="43" t="s">
        <v>10</v>
      </c>
      <c r="G5" s="45"/>
      <c r="H5" s="46"/>
      <c r="I5" s="18"/>
    </row>
    <row r="6">
      <c r="A6" s="23"/>
      <c r="B6" s="47"/>
      <c r="C6" s="49">
        <v>45170.0</v>
      </c>
      <c r="D6" s="40"/>
      <c r="E6" s="41"/>
      <c r="F6" s="53">
        <v>45199.0</v>
      </c>
      <c r="G6" s="45"/>
      <c r="H6" s="46"/>
      <c r="I6" s="18"/>
    </row>
    <row r="7">
      <c r="A7" s="23"/>
      <c r="B7" s="56"/>
      <c r="C7" s="58"/>
      <c r="D7" s="58"/>
      <c r="E7" s="60"/>
      <c r="F7" s="62"/>
      <c r="G7" s="64"/>
      <c r="H7" s="64"/>
      <c r="I7" s="18"/>
    </row>
    <row r="8">
      <c r="A8" s="23"/>
      <c r="B8" s="68" t="s">
        <v>11</v>
      </c>
      <c r="C8" s="69"/>
      <c r="D8" s="68" t="s">
        <v>15</v>
      </c>
      <c r="E8" s="69"/>
      <c r="F8" s="72"/>
      <c r="G8" s="75" t="s">
        <v>19</v>
      </c>
      <c r="H8" s="77"/>
      <c r="I8" s="18"/>
    </row>
    <row r="9">
      <c r="A9" s="23"/>
      <c r="B9" s="79"/>
      <c r="C9" s="81"/>
      <c r="D9" s="79"/>
      <c r="E9" s="81"/>
      <c r="F9" s="72"/>
      <c r="G9" s="86">
        <v>4.0</v>
      </c>
      <c r="H9" s="86" t="s">
        <v>21</v>
      </c>
      <c r="I9" s="18"/>
    </row>
    <row r="10">
      <c r="A10" s="23"/>
      <c r="B10" s="88">
        <v>30.0</v>
      </c>
      <c r="C10" s="69"/>
      <c r="D10" s="88">
        <v>4.0</v>
      </c>
      <c r="E10" s="69"/>
      <c r="F10" s="72"/>
      <c r="G10" s="90"/>
      <c r="H10" s="90"/>
      <c r="I10" s="18"/>
    </row>
    <row r="11">
      <c r="A11" s="23"/>
      <c r="B11" s="91"/>
      <c r="C11" s="92"/>
      <c r="D11" s="91"/>
      <c r="E11" s="92"/>
      <c r="F11" s="94"/>
      <c r="G11" s="62"/>
      <c r="H11" s="62"/>
      <c r="I11" s="18"/>
    </row>
    <row r="12">
      <c r="A12" s="23"/>
      <c r="B12" s="91"/>
      <c r="C12" s="92"/>
      <c r="D12" s="91"/>
      <c r="E12" s="92"/>
      <c r="F12" s="94"/>
      <c r="G12" s="96"/>
      <c r="H12" s="96"/>
      <c r="I12" s="18"/>
    </row>
    <row r="13">
      <c r="A13" s="23"/>
      <c r="B13" s="79"/>
      <c r="C13" s="81"/>
      <c r="D13" s="79"/>
      <c r="E13" s="81"/>
      <c r="F13" s="94"/>
      <c r="G13" s="96"/>
      <c r="H13" s="96"/>
      <c r="I13" s="18"/>
    </row>
    <row r="14">
      <c r="A14" s="23"/>
      <c r="B14" s="64"/>
      <c r="C14" s="64"/>
      <c r="D14" s="64"/>
      <c r="E14" s="64"/>
      <c r="F14" s="96"/>
      <c r="G14" s="96"/>
      <c r="H14" s="96"/>
      <c r="I14" s="18"/>
    </row>
    <row r="15">
      <c r="A15" s="23"/>
      <c r="B15" s="99" t="s">
        <v>24</v>
      </c>
      <c r="C15" s="101"/>
      <c r="D15" s="101"/>
      <c r="E15" s="103"/>
      <c r="F15" s="94"/>
      <c r="G15" s="96"/>
      <c r="H15" s="96"/>
      <c r="I15" s="18"/>
    </row>
    <row r="16">
      <c r="A16" s="23"/>
      <c r="B16" s="105"/>
      <c r="C16" s="108"/>
      <c r="D16" s="108"/>
      <c r="E16" s="109"/>
      <c r="F16" s="94"/>
      <c r="G16" s="96"/>
      <c r="H16" s="96"/>
      <c r="I16" s="18"/>
    </row>
    <row r="17">
      <c r="A17" s="23"/>
      <c r="B17" s="121">
        <f>B10/D10</f>
        <v>7.5</v>
      </c>
      <c r="C17" s="103"/>
      <c r="D17" s="124" t="s">
        <v>32</v>
      </c>
      <c r="E17" s="103"/>
      <c r="F17" s="94"/>
      <c r="G17" s="96"/>
      <c r="H17" s="96"/>
      <c r="I17" s="18"/>
    </row>
    <row r="18">
      <c r="A18" s="23"/>
      <c r="B18" s="126"/>
      <c r="C18" s="128"/>
      <c r="D18" s="126"/>
      <c r="E18" s="128"/>
      <c r="F18" s="94"/>
      <c r="G18" s="96"/>
      <c r="H18" s="96"/>
      <c r="I18" s="18"/>
    </row>
    <row r="19">
      <c r="A19" s="23"/>
      <c r="B19" s="126"/>
      <c r="C19" s="128"/>
      <c r="D19" s="126"/>
      <c r="E19" s="128"/>
      <c r="F19" s="94"/>
      <c r="G19" s="96"/>
      <c r="H19" s="96"/>
      <c r="I19" s="18"/>
    </row>
    <row r="20">
      <c r="A20" s="23"/>
      <c r="B20" s="105"/>
      <c r="C20" s="109"/>
      <c r="D20" s="105"/>
      <c r="E20" s="109"/>
      <c r="F20" s="94"/>
      <c r="G20" s="96"/>
      <c r="H20" s="96"/>
      <c r="I20" s="18"/>
    </row>
    <row r="21">
      <c r="A21" s="23"/>
      <c r="B21" s="64"/>
      <c r="C21" s="133"/>
      <c r="D21" s="133"/>
      <c r="E21" s="133"/>
      <c r="F21" s="96"/>
      <c r="G21" s="96"/>
      <c r="H21" s="96"/>
      <c r="I21" s="18"/>
    </row>
    <row r="22">
      <c r="A22" s="23"/>
      <c r="B22" s="135" t="s">
        <v>34</v>
      </c>
      <c r="C22" s="137"/>
      <c r="D22" s="137"/>
      <c r="E22" s="138"/>
      <c r="F22" s="94"/>
      <c r="G22" s="96"/>
      <c r="H22" s="96"/>
      <c r="I22" s="18"/>
    </row>
    <row r="23">
      <c r="A23" s="23"/>
      <c r="B23" s="142" t="s">
        <v>35</v>
      </c>
      <c r="E23" s="143"/>
      <c r="F23" s="94"/>
      <c r="G23" s="96"/>
      <c r="H23" s="96"/>
      <c r="I23" s="18"/>
    </row>
    <row r="24">
      <c r="A24" s="23"/>
      <c r="B24" s="85"/>
      <c r="E24" s="143"/>
      <c r="F24" s="94"/>
      <c r="G24" s="96"/>
      <c r="H24" s="96"/>
      <c r="I24" s="18"/>
    </row>
    <row r="25">
      <c r="A25" s="23"/>
      <c r="B25" s="85"/>
      <c r="E25" s="143"/>
      <c r="F25" s="94"/>
      <c r="G25" s="96"/>
      <c r="H25" s="96"/>
      <c r="I25" s="18"/>
    </row>
    <row r="26">
      <c r="A26" s="23"/>
      <c r="B26" s="85"/>
      <c r="E26" s="143"/>
      <c r="F26" s="94"/>
      <c r="G26" s="96"/>
      <c r="H26" s="96"/>
      <c r="I26" s="18"/>
    </row>
    <row r="27">
      <c r="A27" s="23"/>
      <c r="B27" s="85"/>
      <c r="E27" s="143"/>
      <c r="F27" s="94"/>
      <c r="G27" s="96"/>
      <c r="H27" s="96"/>
      <c r="I27" s="18"/>
    </row>
    <row r="28">
      <c r="A28" s="23"/>
      <c r="B28" s="117"/>
      <c r="C28" s="118"/>
      <c r="D28" s="118"/>
      <c r="E28" s="146"/>
      <c r="F28" s="94"/>
      <c r="G28" s="96"/>
      <c r="H28" s="96"/>
      <c r="I28" s="18"/>
    </row>
    <row r="29">
      <c r="A29" s="23"/>
      <c r="B29" s="62"/>
      <c r="C29" s="62"/>
      <c r="D29" s="62"/>
      <c r="E29" s="62"/>
      <c r="F29" s="96"/>
      <c r="G29" s="96"/>
      <c r="H29" s="96"/>
      <c r="I29" s="18"/>
    </row>
    <row r="30">
      <c r="A30" s="23"/>
      <c r="B30" s="96"/>
      <c r="C30" s="96"/>
      <c r="D30" s="96"/>
      <c r="E30" s="96"/>
      <c r="F30" s="96"/>
      <c r="G30" s="96"/>
      <c r="H30" s="96"/>
      <c r="I30" s="18"/>
    </row>
    <row r="31">
      <c r="A31" s="134"/>
      <c r="B31" s="96"/>
      <c r="C31" s="96"/>
      <c r="D31" s="96"/>
      <c r="E31" s="96"/>
      <c r="F31" s="96"/>
      <c r="G31" s="96"/>
      <c r="H31" s="96"/>
      <c r="I31" s="148"/>
    </row>
  </sheetData>
  <mergeCells count="22">
    <mergeCell ref="C5:E5"/>
    <mergeCell ref="C6:E6"/>
    <mergeCell ref="B5:B6"/>
    <mergeCell ref="B8:C9"/>
    <mergeCell ref="D8:E9"/>
    <mergeCell ref="G8:H8"/>
    <mergeCell ref="G9:G10"/>
    <mergeCell ref="H9:H10"/>
    <mergeCell ref="B10:C13"/>
    <mergeCell ref="D10:E13"/>
    <mergeCell ref="B15:E16"/>
    <mergeCell ref="B17:C20"/>
    <mergeCell ref="D17:E20"/>
    <mergeCell ref="B22:E22"/>
    <mergeCell ref="B23:E28"/>
    <mergeCell ref="A1:I1"/>
    <mergeCell ref="A2:A31"/>
    <mergeCell ref="B2:F4"/>
    <mergeCell ref="G2:H4"/>
    <mergeCell ref="I2:I31"/>
    <mergeCell ref="F5:H5"/>
    <mergeCell ref="F6:H6"/>
  </mergeCells>
  <hyperlinks>
    <hyperlink r:id="rId1" ref="G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7.5"/>
    <col customWidth="1" min="3" max="3" width="18.25"/>
    <col customWidth="1" min="4" max="4" width="16.13"/>
    <col customWidth="1" min="5" max="5" width="9.0"/>
    <col customWidth="1" min="9" max="9" width="7.25"/>
  </cols>
  <sheetData>
    <row r="1" ht="32.25" customHeight="1">
      <c r="A1" s="5"/>
      <c r="B1" s="7"/>
      <c r="C1" s="8"/>
      <c r="D1" s="8"/>
      <c r="E1" s="8"/>
      <c r="F1" s="8"/>
      <c r="G1" s="8"/>
      <c r="H1" s="8"/>
      <c r="I1" s="16"/>
    </row>
    <row r="2">
      <c r="A2" s="18"/>
      <c r="B2" s="19" t="s">
        <v>6</v>
      </c>
      <c r="C2" s="10"/>
      <c r="D2" s="10"/>
      <c r="E2" s="10"/>
      <c r="F2" s="12"/>
      <c r="G2" s="21" t="s">
        <v>7</v>
      </c>
      <c r="H2" s="22"/>
      <c r="I2" s="24"/>
    </row>
    <row r="3">
      <c r="A3" s="18"/>
      <c r="B3" s="25"/>
      <c r="F3" s="26"/>
      <c r="G3" s="27"/>
      <c r="H3" s="28"/>
      <c r="I3" s="18"/>
    </row>
    <row r="4">
      <c r="A4" s="18"/>
      <c r="B4" s="29"/>
      <c r="C4" s="30"/>
      <c r="D4" s="30"/>
      <c r="E4" s="30"/>
      <c r="F4" s="32"/>
      <c r="G4" s="34"/>
      <c r="H4" s="35"/>
      <c r="I4" s="18"/>
    </row>
    <row r="5">
      <c r="A5" s="18"/>
      <c r="B5" s="37" t="s">
        <v>8</v>
      </c>
      <c r="C5" s="39" t="s">
        <v>9</v>
      </c>
      <c r="D5" s="40"/>
      <c r="E5" s="41"/>
      <c r="F5" s="43" t="s">
        <v>10</v>
      </c>
      <c r="G5" s="45"/>
      <c r="H5" s="46"/>
      <c r="I5" s="18"/>
    </row>
    <row r="6">
      <c r="A6" s="18"/>
      <c r="B6" s="47"/>
      <c r="C6" s="49">
        <v>45170.0</v>
      </c>
      <c r="D6" s="40"/>
      <c r="E6" s="41"/>
      <c r="F6" s="53">
        <v>45199.0</v>
      </c>
      <c r="G6" s="45"/>
      <c r="H6" s="46"/>
      <c r="I6" s="18"/>
    </row>
    <row r="7">
      <c r="A7" s="18"/>
      <c r="B7" s="56"/>
      <c r="C7" s="58"/>
      <c r="D7" s="58"/>
      <c r="E7" s="60"/>
      <c r="F7" s="62"/>
      <c r="G7" s="64"/>
      <c r="H7" s="67"/>
      <c r="I7" s="18"/>
    </row>
    <row r="8">
      <c r="A8" s="18"/>
      <c r="B8" s="68" t="s">
        <v>14</v>
      </c>
      <c r="C8" s="69"/>
      <c r="D8" s="68" t="s">
        <v>16</v>
      </c>
      <c r="E8" s="69"/>
      <c r="F8" s="72"/>
      <c r="G8" s="75" t="s">
        <v>19</v>
      </c>
      <c r="H8" s="77"/>
      <c r="I8" s="18"/>
    </row>
    <row r="9" ht="19.5" customHeight="1">
      <c r="A9" s="18"/>
      <c r="B9" s="79"/>
      <c r="C9" s="81"/>
      <c r="D9" s="79"/>
      <c r="E9" s="81"/>
      <c r="F9" s="72"/>
      <c r="G9" s="84">
        <v>0.9</v>
      </c>
      <c r="H9" s="86" t="s">
        <v>20</v>
      </c>
      <c r="I9" s="18"/>
    </row>
    <row r="10">
      <c r="A10" s="18"/>
      <c r="B10" s="88">
        <v>5.0</v>
      </c>
      <c r="C10" s="69"/>
      <c r="D10" s="88">
        <v>15.0</v>
      </c>
      <c r="E10" s="69"/>
      <c r="F10" s="72"/>
      <c r="G10" s="90"/>
      <c r="H10" s="90"/>
      <c r="I10" s="18"/>
    </row>
    <row r="11">
      <c r="A11" s="18"/>
      <c r="B11" s="91"/>
      <c r="C11" s="92"/>
      <c r="D11" s="91"/>
      <c r="E11" s="92"/>
      <c r="F11" s="94"/>
      <c r="G11" s="62"/>
      <c r="H11" s="100"/>
      <c r="I11" s="18"/>
    </row>
    <row r="12">
      <c r="A12" s="18"/>
      <c r="B12" s="91"/>
      <c r="C12" s="92"/>
      <c r="D12" s="91"/>
      <c r="E12" s="92"/>
      <c r="F12" s="94"/>
      <c r="G12" s="96"/>
      <c r="H12" s="104"/>
      <c r="I12" s="18"/>
    </row>
    <row r="13">
      <c r="A13" s="18"/>
      <c r="B13" s="79"/>
      <c r="C13" s="81"/>
      <c r="D13" s="79"/>
      <c r="E13" s="81"/>
      <c r="F13" s="94"/>
      <c r="G13" s="96"/>
      <c r="H13" s="104"/>
      <c r="I13" s="18"/>
    </row>
    <row r="14">
      <c r="A14" s="18"/>
      <c r="B14" s="64"/>
      <c r="C14" s="64"/>
      <c r="D14" s="64"/>
      <c r="E14" s="64"/>
      <c r="F14" s="96"/>
      <c r="G14" s="96"/>
      <c r="H14" s="104"/>
      <c r="I14" s="18"/>
    </row>
    <row r="15">
      <c r="A15" s="18"/>
      <c r="B15" s="99" t="s">
        <v>28</v>
      </c>
      <c r="C15" s="101"/>
      <c r="D15" s="101"/>
      <c r="E15" s="103"/>
      <c r="F15" s="94"/>
      <c r="G15" s="96"/>
      <c r="H15" s="104"/>
      <c r="I15" s="18"/>
    </row>
    <row r="16">
      <c r="A16" s="18"/>
      <c r="B16" s="105"/>
      <c r="C16" s="108"/>
      <c r="D16" s="108"/>
      <c r="E16" s="109"/>
      <c r="F16" s="94"/>
      <c r="G16" s="96"/>
      <c r="H16" s="104"/>
      <c r="I16" s="18"/>
    </row>
    <row r="17">
      <c r="A17" s="18"/>
      <c r="B17" s="122">
        <f>1-B10/D10</f>
        <v>0.6666666667</v>
      </c>
      <c r="C17" s="101"/>
      <c r="D17" s="101"/>
      <c r="E17" s="103"/>
      <c r="F17" s="94"/>
      <c r="G17" s="96"/>
      <c r="H17" s="104"/>
      <c r="I17" s="18"/>
    </row>
    <row r="18">
      <c r="A18" s="18"/>
      <c r="B18" s="126"/>
      <c r="E18" s="128"/>
      <c r="F18" s="94"/>
      <c r="G18" s="96"/>
      <c r="H18" s="104"/>
      <c r="I18" s="18"/>
    </row>
    <row r="19">
      <c r="A19" s="18"/>
      <c r="B19" s="126"/>
      <c r="E19" s="128"/>
      <c r="F19" s="94"/>
      <c r="G19" s="96"/>
      <c r="H19" s="104"/>
      <c r="I19" s="18"/>
    </row>
    <row r="20">
      <c r="A20" s="18"/>
      <c r="B20" s="105"/>
      <c r="C20" s="108"/>
      <c r="D20" s="108"/>
      <c r="E20" s="109"/>
      <c r="F20" s="94"/>
      <c r="G20" s="96"/>
      <c r="H20" s="104"/>
      <c r="I20" s="18"/>
    </row>
    <row r="21">
      <c r="A21" s="18"/>
      <c r="B21" s="64"/>
      <c r="C21" s="133"/>
      <c r="D21" s="133"/>
      <c r="E21" s="133"/>
      <c r="F21" s="96"/>
      <c r="G21" s="96"/>
      <c r="H21" s="104"/>
      <c r="I21" s="18"/>
    </row>
    <row r="22">
      <c r="A22" s="18"/>
      <c r="B22" s="135" t="s">
        <v>33</v>
      </c>
      <c r="C22" s="137"/>
      <c r="D22" s="137"/>
      <c r="E22" s="138"/>
      <c r="F22" s="94"/>
      <c r="G22" s="96"/>
      <c r="H22" s="144"/>
      <c r="I22" s="18"/>
    </row>
    <row r="23">
      <c r="A23" s="18"/>
      <c r="B23" s="142" t="s">
        <v>37</v>
      </c>
      <c r="E23" s="143"/>
      <c r="F23" s="94"/>
      <c r="G23" s="96"/>
      <c r="H23" s="104"/>
      <c r="I23" s="18"/>
    </row>
    <row r="24">
      <c r="A24" s="18"/>
      <c r="B24" s="85"/>
      <c r="E24" s="143"/>
      <c r="F24" s="94"/>
      <c r="G24" s="96"/>
      <c r="H24" s="104"/>
      <c r="I24" s="18"/>
    </row>
    <row r="25">
      <c r="A25" s="18"/>
      <c r="B25" s="85"/>
      <c r="E25" s="143"/>
      <c r="F25" s="94"/>
      <c r="G25" s="96"/>
      <c r="H25" s="104"/>
      <c r="I25" s="18"/>
    </row>
    <row r="26">
      <c r="A26" s="18"/>
      <c r="B26" s="85"/>
      <c r="E26" s="143"/>
      <c r="F26" s="94"/>
      <c r="G26" s="96"/>
      <c r="H26" s="104"/>
      <c r="I26" s="18"/>
    </row>
    <row r="27">
      <c r="A27" s="18"/>
      <c r="B27" s="85"/>
      <c r="E27" s="143"/>
      <c r="F27" s="94"/>
      <c r="G27" s="96"/>
      <c r="H27" s="104"/>
      <c r="I27" s="18"/>
    </row>
    <row r="28">
      <c r="A28" s="18"/>
      <c r="B28" s="117"/>
      <c r="C28" s="118"/>
      <c r="D28" s="118"/>
      <c r="E28" s="146"/>
      <c r="F28" s="94"/>
      <c r="G28" s="96"/>
      <c r="H28" s="104"/>
      <c r="I28" s="18"/>
    </row>
    <row r="29">
      <c r="A29" s="18"/>
      <c r="B29" s="151"/>
      <c r="C29" s="151"/>
      <c r="D29" s="151"/>
      <c r="E29" s="62"/>
      <c r="F29" s="96"/>
      <c r="G29" s="96"/>
      <c r="H29" s="104"/>
      <c r="I29" s="18"/>
    </row>
    <row r="30">
      <c r="A30" s="18"/>
      <c r="B30" s="153"/>
      <c r="C30" s="153"/>
      <c r="D30" s="153"/>
      <c r="E30" s="96"/>
      <c r="F30" s="96"/>
      <c r="G30" s="96"/>
      <c r="H30" s="104"/>
      <c r="I30" s="18"/>
    </row>
    <row r="31">
      <c r="A31" s="148"/>
      <c r="B31" s="96"/>
      <c r="C31" s="96"/>
      <c r="D31" s="96"/>
      <c r="E31" s="96"/>
      <c r="F31" s="96"/>
      <c r="G31" s="96"/>
      <c r="H31" s="104"/>
      <c r="I31" s="148"/>
    </row>
  </sheetData>
  <mergeCells count="21">
    <mergeCell ref="C5:E5"/>
    <mergeCell ref="C6:E6"/>
    <mergeCell ref="B5:B6"/>
    <mergeCell ref="B8:C9"/>
    <mergeCell ref="D8:E9"/>
    <mergeCell ref="G8:H8"/>
    <mergeCell ref="G9:G10"/>
    <mergeCell ref="H9:H10"/>
    <mergeCell ref="B10:C13"/>
    <mergeCell ref="D10:E13"/>
    <mergeCell ref="B15:E16"/>
    <mergeCell ref="B17:E20"/>
    <mergeCell ref="B22:E22"/>
    <mergeCell ref="B23:E28"/>
    <mergeCell ref="A1:A31"/>
    <mergeCell ref="B1:I1"/>
    <mergeCell ref="B2:F4"/>
    <mergeCell ref="G2:H4"/>
    <mergeCell ref="I2:I31"/>
    <mergeCell ref="F5:H5"/>
    <mergeCell ref="F6:H6"/>
  </mergeCells>
  <hyperlinks>
    <hyperlink r:id="rId1" ref="G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7.5"/>
    <col customWidth="1" min="3" max="3" width="18.25"/>
    <col customWidth="1" min="4" max="4" width="16.13"/>
    <col customWidth="1" min="5" max="5" width="9.0"/>
    <col customWidth="1" min="9" max="9" width="6.5"/>
  </cols>
  <sheetData>
    <row r="1" ht="30.75" customHeight="1">
      <c r="A1" s="1"/>
      <c r="B1" s="3"/>
      <c r="C1" s="3"/>
      <c r="D1" s="3"/>
      <c r="E1" s="3"/>
      <c r="F1" s="3"/>
      <c r="G1" s="3"/>
      <c r="H1" s="3"/>
      <c r="I1" s="4"/>
    </row>
    <row r="2">
      <c r="A2" s="6"/>
      <c r="B2" s="9" t="s">
        <v>45</v>
      </c>
      <c r="C2" s="10"/>
      <c r="D2" s="10"/>
      <c r="E2" s="10"/>
      <c r="F2" s="12"/>
      <c r="G2" s="21" t="s">
        <v>47</v>
      </c>
      <c r="H2" s="22"/>
      <c r="I2" s="24"/>
    </row>
    <row r="3">
      <c r="A3" s="23"/>
      <c r="B3" s="25"/>
      <c r="F3" s="26"/>
      <c r="G3" s="27"/>
      <c r="H3" s="28"/>
      <c r="I3" s="18"/>
    </row>
    <row r="4">
      <c r="A4" s="23"/>
      <c r="B4" s="29"/>
      <c r="C4" s="30"/>
      <c r="D4" s="30"/>
      <c r="E4" s="30"/>
      <c r="F4" s="32"/>
      <c r="G4" s="34"/>
      <c r="H4" s="35"/>
      <c r="I4" s="18"/>
    </row>
    <row r="5">
      <c r="A5" s="23"/>
      <c r="B5" s="37" t="s">
        <v>8</v>
      </c>
      <c r="C5" s="39" t="s">
        <v>9</v>
      </c>
      <c r="D5" s="40"/>
      <c r="E5" s="41"/>
      <c r="F5" s="43" t="s">
        <v>10</v>
      </c>
      <c r="G5" s="45"/>
      <c r="H5" s="46"/>
      <c r="I5" s="18"/>
    </row>
    <row r="6">
      <c r="A6" s="23"/>
      <c r="B6" s="47"/>
      <c r="C6" s="49">
        <v>45170.0</v>
      </c>
      <c r="D6" s="40"/>
      <c r="E6" s="41"/>
      <c r="F6" s="53">
        <v>45199.0</v>
      </c>
      <c r="G6" s="45"/>
      <c r="H6" s="46"/>
      <c r="I6" s="18"/>
    </row>
    <row r="7">
      <c r="A7" s="23"/>
      <c r="B7" s="162"/>
      <c r="C7" s="58"/>
      <c r="D7" s="58"/>
      <c r="E7" s="60"/>
      <c r="F7" s="62"/>
      <c r="G7" s="64"/>
      <c r="H7" s="64"/>
      <c r="I7" s="18"/>
    </row>
    <row r="8">
      <c r="A8" s="23"/>
      <c r="B8" s="68" t="s">
        <v>59</v>
      </c>
      <c r="C8" s="69"/>
      <c r="D8" s="68" t="s">
        <v>60</v>
      </c>
      <c r="E8" s="69"/>
      <c r="F8" s="72"/>
      <c r="G8" s="75" t="s">
        <v>19</v>
      </c>
      <c r="H8" s="77"/>
      <c r="I8" s="18"/>
    </row>
    <row r="9">
      <c r="A9" s="23"/>
      <c r="B9" s="79"/>
      <c r="C9" s="81"/>
      <c r="D9" s="79"/>
      <c r="E9" s="81"/>
      <c r="F9" s="72"/>
      <c r="G9" s="174">
        <v>2000.0</v>
      </c>
      <c r="H9" s="86" t="s">
        <v>61</v>
      </c>
      <c r="I9" s="18"/>
    </row>
    <row r="10">
      <c r="A10" s="23"/>
      <c r="B10" s="176">
        <v>20000.0</v>
      </c>
      <c r="C10" s="69"/>
      <c r="D10" s="88">
        <v>7.0</v>
      </c>
      <c r="E10" s="69"/>
      <c r="F10" s="72"/>
      <c r="G10" s="90"/>
      <c r="H10" s="90"/>
      <c r="I10" s="18"/>
    </row>
    <row r="11">
      <c r="A11" s="23"/>
      <c r="B11" s="91"/>
      <c r="C11" s="92"/>
      <c r="D11" s="91"/>
      <c r="E11" s="92"/>
      <c r="F11" s="94"/>
      <c r="G11" s="62"/>
      <c r="H11" s="62"/>
      <c r="I11" s="18"/>
    </row>
    <row r="12">
      <c r="A12" s="23"/>
      <c r="B12" s="91"/>
      <c r="C12" s="92"/>
      <c r="D12" s="91"/>
      <c r="E12" s="92"/>
      <c r="F12" s="94"/>
      <c r="G12" s="96"/>
      <c r="H12" s="96"/>
      <c r="I12" s="18"/>
    </row>
    <row r="13">
      <c r="A13" s="23"/>
      <c r="B13" s="79"/>
      <c r="C13" s="81"/>
      <c r="D13" s="79"/>
      <c r="E13" s="81"/>
      <c r="F13" s="94"/>
      <c r="G13" s="96"/>
      <c r="H13" s="96"/>
      <c r="I13" s="18"/>
    </row>
    <row r="14">
      <c r="A14" s="23"/>
      <c r="B14" s="182"/>
      <c r="C14" s="64"/>
      <c r="D14" s="64"/>
      <c r="E14" s="64"/>
      <c r="F14" s="96"/>
      <c r="G14" s="96"/>
      <c r="H14" s="96"/>
      <c r="I14" s="18"/>
    </row>
    <row r="15">
      <c r="A15" s="23"/>
      <c r="B15" s="99" t="s">
        <v>66</v>
      </c>
      <c r="C15" s="101"/>
      <c r="D15" s="101"/>
      <c r="E15" s="103"/>
      <c r="F15" s="94"/>
      <c r="G15" s="96"/>
      <c r="H15" s="96"/>
      <c r="I15" s="18"/>
    </row>
    <row r="16">
      <c r="A16" s="23"/>
      <c r="B16" s="105"/>
      <c r="C16" s="108"/>
      <c r="D16" s="108"/>
      <c r="E16" s="109"/>
      <c r="F16" s="94"/>
      <c r="G16" s="96"/>
      <c r="H16" s="96"/>
      <c r="I16" s="18"/>
    </row>
    <row r="17">
      <c r="A17" s="23"/>
      <c r="B17" s="185">
        <f>B10/D10</f>
        <v>2857.142857</v>
      </c>
      <c r="C17" s="101"/>
      <c r="D17" s="101"/>
      <c r="E17" s="103"/>
      <c r="F17" s="94"/>
      <c r="G17" s="96"/>
      <c r="H17" s="96"/>
      <c r="I17" s="18"/>
    </row>
    <row r="18">
      <c r="A18" s="23"/>
      <c r="B18" s="126"/>
      <c r="E18" s="128"/>
      <c r="F18" s="94"/>
      <c r="G18" s="96"/>
      <c r="H18" s="96"/>
      <c r="I18" s="18"/>
    </row>
    <row r="19">
      <c r="A19" s="23"/>
      <c r="B19" s="126"/>
      <c r="E19" s="128"/>
      <c r="F19" s="94"/>
      <c r="G19" s="96"/>
      <c r="H19" s="96"/>
      <c r="I19" s="18"/>
    </row>
    <row r="20">
      <c r="A20" s="23"/>
      <c r="B20" s="105"/>
      <c r="C20" s="108"/>
      <c r="D20" s="108"/>
      <c r="E20" s="109"/>
      <c r="F20" s="94"/>
      <c r="G20" s="96"/>
      <c r="H20" s="96"/>
      <c r="I20" s="18"/>
    </row>
    <row r="21">
      <c r="A21" s="23"/>
      <c r="B21" s="182"/>
      <c r="C21" s="133"/>
      <c r="D21" s="133"/>
      <c r="E21" s="133"/>
      <c r="F21" s="96"/>
      <c r="G21" s="96"/>
      <c r="H21" s="96"/>
      <c r="I21" s="18"/>
    </row>
    <row r="22">
      <c r="A22" s="23"/>
      <c r="B22" s="135" t="s">
        <v>68</v>
      </c>
      <c r="C22" s="137"/>
      <c r="D22" s="137"/>
      <c r="E22" s="138"/>
      <c r="F22" s="94"/>
      <c r="G22" s="96"/>
      <c r="H22" s="192"/>
      <c r="I22" s="18"/>
    </row>
    <row r="23">
      <c r="A23" s="23"/>
      <c r="B23" s="165" t="s">
        <v>72</v>
      </c>
      <c r="E23" s="143"/>
      <c r="F23" s="94"/>
      <c r="G23" s="96"/>
      <c r="H23" s="96"/>
      <c r="I23" s="18"/>
    </row>
    <row r="24">
      <c r="A24" s="23"/>
      <c r="B24" s="85"/>
      <c r="E24" s="143"/>
      <c r="F24" s="94"/>
      <c r="G24" s="96"/>
      <c r="H24" s="96"/>
      <c r="I24" s="18"/>
    </row>
    <row r="25">
      <c r="A25" s="23"/>
      <c r="B25" s="85"/>
      <c r="E25" s="143"/>
      <c r="F25" s="94"/>
      <c r="G25" s="96"/>
      <c r="H25" s="96"/>
      <c r="I25" s="18"/>
    </row>
    <row r="26">
      <c r="A26" s="23"/>
      <c r="B26" s="85"/>
      <c r="E26" s="143"/>
      <c r="F26" s="94"/>
      <c r="G26" s="96"/>
      <c r="H26" s="96"/>
      <c r="I26" s="18"/>
    </row>
    <row r="27">
      <c r="A27" s="23"/>
      <c r="B27" s="85"/>
      <c r="E27" s="143"/>
      <c r="F27" s="94"/>
      <c r="G27" s="96"/>
      <c r="H27" s="96"/>
      <c r="I27" s="18"/>
    </row>
    <row r="28">
      <c r="A28" s="23"/>
      <c r="B28" s="117"/>
      <c r="C28" s="118"/>
      <c r="D28" s="118"/>
      <c r="E28" s="146"/>
      <c r="F28" s="94"/>
      <c r="G28" s="96"/>
      <c r="H28" s="96"/>
      <c r="I28" s="18"/>
    </row>
    <row r="29">
      <c r="A29" s="23"/>
      <c r="B29" s="200"/>
      <c r="C29" s="151"/>
      <c r="D29" s="151"/>
      <c r="E29" s="62"/>
      <c r="F29" s="96"/>
      <c r="G29" s="96"/>
      <c r="H29" s="96"/>
      <c r="I29" s="18"/>
    </row>
    <row r="30">
      <c r="A30" s="23"/>
      <c r="B30" s="201"/>
      <c r="C30" s="153"/>
      <c r="D30" s="153"/>
      <c r="E30" s="96"/>
      <c r="F30" s="96"/>
      <c r="G30" s="96"/>
      <c r="H30" s="96"/>
      <c r="I30" s="18"/>
    </row>
    <row r="31">
      <c r="A31" s="134"/>
      <c r="B31" s="94"/>
      <c r="C31" s="96"/>
      <c r="D31" s="96"/>
      <c r="E31" s="96"/>
      <c r="F31" s="96"/>
      <c r="G31" s="96"/>
      <c r="H31" s="96"/>
      <c r="I31" s="148"/>
    </row>
  </sheetData>
  <mergeCells count="21">
    <mergeCell ref="C5:E5"/>
    <mergeCell ref="C6:E6"/>
    <mergeCell ref="B5:B6"/>
    <mergeCell ref="B8:C9"/>
    <mergeCell ref="D8:E9"/>
    <mergeCell ref="G8:H8"/>
    <mergeCell ref="G9:G10"/>
    <mergeCell ref="H9:H10"/>
    <mergeCell ref="B10:C13"/>
    <mergeCell ref="D10:E13"/>
    <mergeCell ref="B15:E16"/>
    <mergeCell ref="B17:E20"/>
    <mergeCell ref="B22:E22"/>
    <mergeCell ref="B23:E28"/>
    <mergeCell ref="A1:I1"/>
    <mergeCell ref="A2:A31"/>
    <mergeCell ref="B2:F4"/>
    <mergeCell ref="G2:H4"/>
    <mergeCell ref="I2:I31"/>
    <mergeCell ref="F5:H5"/>
    <mergeCell ref="F6:H6"/>
  </mergeCells>
  <hyperlinks>
    <hyperlink r:id="rId1" ref="G2"/>
    <hyperlink r:id="rId2" ref="B2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7.5"/>
    <col customWidth="1" min="3" max="3" width="18.25"/>
    <col customWidth="1" min="4" max="4" width="16.13"/>
    <col customWidth="1" min="5" max="5" width="9.0"/>
    <col customWidth="1" min="9" max="9" width="7.0"/>
  </cols>
  <sheetData>
    <row r="1" ht="34.5" customHeight="1">
      <c r="A1" s="6"/>
      <c r="B1" s="8"/>
      <c r="C1" s="8"/>
      <c r="D1" s="8"/>
      <c r="E1" s="8"/>
      <c r="F1" s="8"/>
      <c r="G1" s="8"/>
      <c r="H1" s="8"/>
      <c r="I1" s="16"/>
    </row>
    <row r="2">
      <c r="A2" s="6"/>
      <c r="B2" s="19" t="s">
        <v>46</v>
      </c>
      <c r="C2" s="10"/>
      <c r="D2" s="10"/>
      <c r="E2" s="10"/>
      <c r="F2" s="12"/>
      <c r="G2" s="161" t="s">
        <v>51</v>
      </c>
      <c r="H2" s="22"/>
      <c r="I2" s="24"/>
    </row>
    <row r="3">
      <c r="A3" s="23"/>
      <c r="B3" s="25"/>
      <c r="F3" s="26"/>
      <c r="G3" s="27"/>
      <c r="H3" s="28"/>
      <c r="I3" s="18"/>
    </row>
    <row r="4">
      <c r="A4" s="23"/>
      <c r="B4" s="29"/>
      <c r="C4" s="30"/>
      <c r="D4" s="30"/>
      <c r="E4" s="30"/>
      <c r="F4" s="32"/>
      <c r="G4" s="34"/>
      <c r="H4" s="35"/>
      <c r="I4" s="18"/>
    </row>
    <row r="5">
      <c r="A5" s="23"/>
      <c r="B5" s="163" t="s">
        <v>8</v>
      </c>
      <c r="C5" s="164" t="s">
        <v>9</v>
      </c>
      <c r="D5" s="166"/>
      <c r="E5" s="167"/>
      <c r="F5" s="168" t="s">
        <v>10</v>
      </c>
      <c r="G5" s="170"/>
      <c r="H5" s="171"/>
      <c r="I5" s="18"/>
    </row>
    <row r="6">
      <c r="A6" s="23"/>
      <c r="B6" s="173"/>
      <c r="C6" s="49">
        <v>45170.0</v>
      </c>
      <c r="D6" s="40"/>
      <c r="E6" s="41"/>
      <c r="F6" s="53">
        <v>45199.0</v>
      </c>
      <c r="G6" s="45"/>
      <c r="H6" s="46"/>
      <c r="I6" s="18"/>
    </row>
    <row r="7">
      <c r="A7" s="23"/>
      <c r="B7" s="162"/>
      <c r="C7" s="58"/>
      <c r="D7" s="58"/>
      <c r="E7" s="60"/>
      <c r="F7" s="62"/>
      <c r="G7" s="64"/>
      <c r="H7" s="64"/>
      <c r="I7" s="18"/>
    </row>
    <row r="8">
      <c r="A8" s="23"/>
      <c r="B8" s="178" t="s">
        <v>62</v>
      </c>
      <c r="C8" s="69"/>
      <c r="D8" s="68" t="s">
        <v>64</v>
      </c>
      <c r="E8" s="69"/>
      <c r="F8" s="72"/>
      <c r="G8" s="99" t="s">
        <v>46</v>
      </c>
      <c r="H8" s="103"/>
      <c r="I8" s="18"/>
    </row>
    <row r="9">
      <c r="A9" s="23"/>
      <c r="B9" s="149"/>
      <c r="C9" s="81"/>
      <c r="D9" s="79"/>
      <c r="E9" s="81"/>
      <c r="F9" s="72"/>
      <c r="G9" s="105"/>
      <c r="H9" s="109"/>
      <c r="I9" s="18"/>
    </row>
    <row r="10">
      <c r="A10" s="23"/>
      <c r="B10" s="183">
        <v>10.0</v>
      </c>
      <c r="C10" s="69"/>
      <c r="D10" s="88">
        <v>90.0</v>
      </c>
      <c r="E10" s="69"/>
      <c r="F10" s="72"/>
      <c r="G10" s="184">
        <f>(D10-B10)/B17</f>
        <v>0.5333333333</v>
      </c>
      <c r="H10" s="103"/>
      <c r="I10" s="18"/>
    </row>
    <row r="11">
      <c r="A11" s="23"/>
      <c r="C11" s="92"/>
      <c r="D11" s="91"/>
      <c r="E11" s="92"/>
      <c r="F11" s="72"/>
      <c r="G11" s="126"/>
      <c r="H11" s="128"/>
      <c r="I11" s="18"/>
    </row>
    <row r="12">
      <c r="A12" s="23"/>
      <c r="C12" s="92"/>
      <c r="D12" s="91"/>
      <c r="E12" s="92"/>
      <c r="F12" s="72"/>
      <c r="G12" s="126"/>
      <c r="H12" s="128"/>
      <c r="I12" s="18"/>
    </row>
    <row r="13">
      <c r="A13" s="23"/>
      <c r="B13" s="149"/>
      <c r="C13" s="81"/>
      <c r="D13" s="79"/>
      <c r="E13" s="81"/>
      <c r="F13" s="72"/>
      <c r="G13" s="105"/>
      <c r="H13" s="109"/>
      <c r="I13" s="18"/>
    </row>
    <row r="14">
      <c r="A14" s="23"/>
      <c r="B14" s="189"/>
      <c r="C14" s="182"/>
      <c r="D14" s="64"/>
      <c r="E14" s="64"/>
      <c r="F14" s="96"/>
      <c r="G14" s="64"/>
      <c r="H14" s="64"/>
      <c r="I14" s="18"/>
    </row>
    <row r="15">
      <c r="A15" s="23"/>
      <c r="B15" s="68" t="s">
        <v>69</v>
      </c>
      <c r="C15" s="145"/>
      <c r="D15" s="145"/>
      <c r="E15" s="69"/>
      <c r="F15" s="72"/>
      <c r="G15" s="75" t="s">
        <v>19</v>
      </c>
      <c r="H15" s="77"/>
      <c r="I15" s="18"/>
    </row>
    <row r="16">
      <c r="A16" s="23"/>
      <c r="B16" s="79"/>
      <c r="C16" s="149"/>
      <c r="D16" s="149"/>
      <c r="E16" s="81"/>
      <c r="F16" s="72"/>
      <c r="G16" s="84">
        <v>0.8</v>
      </c>
      <c r="H16" s="86" t="s">
        <v>71</v>
      </c>
      <c r="I16" s="18"/>
    </row>
    <row r="17">
      <c r="A17" s="23"/>
      <c r="B17" s="195">
        <v>150.0</v>
      </c>
      <c r="E17" s="92"/>
      <c r="F17" s="72"/>
      <c r="G17" s="90"/>
      <c r="H17" s="90"/>
      <c r="I17" s="18"/>
    </row>
    <row r="18">
      <c r="A18" s="23"/>
      <c r="E18" s="92"/>
      <c r="F18" s="94"/>
      <c r="G18" s="62"/>
      <c r="H18" s="62"/>
      <c r="I18" s="18"/>
    </row>
    <row r="19">
      <c r="A19" s="23"/>
      <c r="E19" s="92"/>
      <c r="F19" s="94"/>
      <c r="G19" s="96"/>
      <c r="H19" s="96"/>
      <c r="I19" s="18"/>
    </row>
    <row r="20">
      <c r="A20" s="23"/>
      <c r="B20" s="149"/>
      <c r="C20" s="149"/>
      <c r="D20" s="149"/>
      <c r="E20" s="81"/>
      <c r="F20" s="94"/>
      <c r="G20" s="96"/>
      <c r="H20" s="96"/>
      <c r="I20" s="18"/>
    </row>
    <row r="21">
      <c r="A21" s="23"/>
      <c r="B21" s="182"/>
      <c r="C21" s="133"/>
      <c r="D21" s="133"/>
      <c r="E21" s="133"/>
      <c r="F21" s="96"/>
      <c r="G21" s="96"/>
      <c r="H21" s="96"/>
      <c r="I21" s="18"/>
    </row>
    <row r="22">
      <c r="A22" s="23"/>
      <c r="B22" s="197" t="s">
        <v>73</v>
      </c>
      <c r="C22" s="137"/>
      <c r="D22" s="137"/>
      <c r="E22" s="138"/>
      <c r="F22" s="94"/>
      <c r="G22" s="96"/>
      <c r="H22" s="192"/>
      <c r="I22" s="18"/>
    </row>
    <row r="23">
      <c r="A23" s="23"/>
      <c r="B23" s="199" t="s">
        <v>75</v>
      </c>
      <c r="E23" s="143"/>
      <c r="F23" s="94"/>
      <c r="G23" s="96"/>
      <c r="H23" s="96"/>
      <c r="I23" s="18"/>
    </row>
    <row r="24">
      <c r="A24" s="23"/>
      <c r="E24" s="143"/>
      <c r="F24" s="94"/>
      <c r="G24" s="96"/>
      <c r="H24" s="96"/>
      <c r="I24" s="18"/>
    </row>
    <row r="25">
      <c r="A25" s="23"/>
      <c r="E25" s="143"/>
      <c r="F25" s="94"/>
      <c r="G25" s="96"/>
      <c r="H25" s="96"/>
      <c r="I25" s="18"/>
    </row>
    <row r="26">
      <c r="A26" s="23"/>
      <c r="E26" s="143"/>
      <c r="F26" s="94"/>
      <c r="G26" s="96"/>
      <c r="H26" s="96"/>
      <c r="I26" s="18"/>
    </row>
    <row r="27">
      <c r="A27" s="23"/>
      <c r="B27" s="118"/>
      <c r="C27" s="118"/>
      <c r="D27" s="118"/>
      <c r="E27" s="146"/>
      <c r="F27" s="94"/>
      <c r="G27" s="96"/>
      <c r="H27" s="96"/>
      <c r="I27" s="18"/>
    </row>
    <row r="28">
      <c r="A28" s="23"/>
      <c r="B28" s="206" t="s">
        <v>77</v>
      </c>
      <c r="C28" s="187"/>
      <c r="D28" s="187"/>
      <c r="E28" s="188"/>
      <c r="F28" s="94"/>
      <c r="G28" s="96"/>
      <c r="H28" s="96"/>
      <c r="I28" s="18"/>
    </row>
    <row r="29">
      <c r="A29" s="23"/>
      <c r="B29" s="200"/>
      <c r="C29" s="208"/>
      <c r="D29" s="208"/>
      <c r="E29" s="64"/>
      <c r="F29" s="189"/>
      <c r="G29" s="189"/>
      <c r="H29" s="189"/>
      <c r="I29" s="18"/>
    </row>
    <row r="30">
      <c r="A30" s="23"/>
      <c r="B30" s="201"/>
      <c r="C30" s="153"/>
      <c r="D30" s="153"/>
      <c r="E30" s="96"/>
      <c r="F30" s="96"/>
      <c r="G30" s="96"/>
      <c r="H30" s="96"/>
      <c r="I30" s="18"/>
    </row>
    <row r="31">
      <c r="A31" s="134"/>
      <c r="B31" s="94"/>
      <c r="C31" s="62"/>
      <c r="D31" s="62"/>
      <c r="E31" s="62"/>
      <c r="F31" s="62"/>
      <c r="G31" s="62"/>
      <c r="H31" s="62"/>
      <c r="I31" s="148"/>
    </row>
  </sheetData>
  <mergeCells count="24">
    <mergeCell ref="G10:H13"/>
    <mergeCell ref="B15:E16"/>
    <mergeCell ref="G15:H15"/>
    <mergeCell ref="A1:I1"/>
    <mergeCell ref="A2:A31"/>
    <mergeCell ref="B2:F4"/>
    <mergeCell ref="G2:H4"/>
    <mergeCell ref="I2:I31"/>
    <mergeCell ref="F5:H5"/>
    <mergeCell ref="F6:H6"/>
    <mergeCell ref="C5:E5"/>
    <mergeCell ref="C6:E6"/>
    <mergeCell ref="B5:B6"/>
    <mergeCell ref="B8:C9"/>
    <mergeCell ref="D8:E9"/>
    <mergeCell ref="G8:H9"/>
    <mergeCell ref="B10:C13"/>
    <mergeCell ref="D10:E13"/>
    <mergeCell ref="G16:G17"/>
    <mergeCell ref="H16:H17"/>
    <mergeCell ref="B17:E20"/>
    <mergeCell ref="B22:E22"/>
    <mergeCell ref="B23:E27"/>
    <mergeCell ref="B28:E28"/>
  </mergeCells>
  <hyperlinks>
    <hyperlink r:id="rId1" ref="G2"/>
    <hyperlink r:id="rId2" ref="B28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7.5"/>
    <col customWidth="1" min="3" max="3" width="18.25"/>
    <col customWidth="1" min="4" max="4" width="16.13"/>
    <col customWidth="1" min="5" max="5" width="9.0"/>
    <col customWidth="1" min="10" max="10" width="7.63"/>
  </cols>
  <sheetData>
    <row r="1" ht="38.25" customHeight="1">
      <c r="A1" s="159"/>
      <c r="B1" s="7"/>
      <c r="C1" s="8"/>
      <c r="D1" s="8"/>
      <c r="E1" s="8"/>
      <c r="F1" s="8"/>
      <c r="G1" s="8"/>
      <c r="H1" s="8"/>
      <c r="I1" s="16"/>
      <c r="J1" s="24"/>
    </row>
    <row r="2">
      <c r="A2" s="6"/>
      <c r="B2" s="9" t="s">
        <v>56</v>
      </c>
      <c r="C2" s="10"/>
      <c r="D2" s="10"/>
      <c r="E2" s="10"/>
      <c r="F2" s="10"/>
      <c r="G2" s="12"/>
      <c r="H2" s="21" t="s">
        <v>58</v>
      </c>
      <c r="I2" s="22"/>
      <c r="J2" s="18"/>
    </row>
    <row r="3">
      <c r="A3" s="23"/>
      <c r="B3" s="25"/>
      <c r="G3" s="26"/>
      <c r="H3" s="27"/>
      <c r="I3" s="28"/>
      <c r="J3" s="18"/>
    </row>
    <row r="4">
      <c r="A4" s="23"/>
      <c r="B4" s="29"/>
      <c r="C4" s="30"/>
      <c r="D4" s="30"/>
      <c r="E4" s="30"/>
      <c r="F4" s="30"/>
      <c r="G4" s="32"/>
      <c r="H4" s="34"/>
      <c r="I4" s="35"/>
      <c r="J4" s="18"/>
    </row>
    <row r="5">
      <c r="A5" s="23"/>
      <c r="B5" s="37" t="s">
        <v>8</v>
      </c>
      <c r="C5" s="39" t="s">
        <v>9</v>
      </c>
      <c r="D5" s="40"/>
      <c r="E5" s="41"/>
      <c r="F5" s="43" t="s">
        <v>10</v>
      </c>
      <c r="G5" s="45"/>
      <c r="H5" s="45"/>
      <c r="I5" s="46"/>
      <c r="J5" s="18"/>
    </row>
    <row r="6">
      <c r="A6" s="23"/>
      <c r="B6" s="47"/>
      <c r="C6" s="49">
        <v>45170.0</v>
      </c>
      <c r="D6" s="40"/>
      <c r="E6" s="41"/>
      <c r="F6" s="53">
        <v>45199.0</v>
      </c>
      <c r="G6" s="45"/>
      <c r="H6" s="45"/>
      <c r="I6" s="46"/>
      <c r="J6" s="18"/>
    </row>
    <row r="7">
      <c r="A7" s="23"/>
      <c r="B7" s="162"/>
      <c r="C7" s="58"/>
      <c r="D7" s="58"/>
      <c r="E7" s="60"/>
      <c r="F7" s="62"/>
      <c r="G7" s="64"/>
      <c r="H7" s="64"/>
      <c r="I7" s="64"/>
      <c r="J7" s="18"/>
    </row>
    <row r="8">
      <c r="A8" s="23"/>
      <c r="B8" s="68" t="s">
        <v>63</v>
      </c>
      <c r="C8" s="145"/>
      <c r="D8" s="145"/>
      <c r="E8" s="69"/>
      <c r="F8" s="72"/>
      <c r="G8" s="99" t="s">
        <v>65</v>
      </c>
      <c r="H8" s="101"/>
      <c r="I8" s="103"/>
      <c r="J8" s="18"/>
    </row>
    <row r="9">
      <c r="A9" s="23"/>
      <c r="B9" s="79"/>
      <c r="C9" s="149"/>
      <c r="D9" s="149"/>
      <c r="E9" s="81"/>
      <c r="F9" s="72"/>
      <c r="G9" s="105"/>
      <c r="H9" s="108"/>
      <c r="I9" s="109"/>
      <c r="J9" s="18"/>
    </row>
    <row r="10">
      <c r="A10" s="23"/>
      <c r="B10" s="88">
        <v>25.0</v>
      </c>
      <c r="C10" s="145"/>
      <c r="D10" s="145"/>
      <c r="E10" s="69"/>
      <c r="F10" s="72"/>
      <c r="G10" s="184">
        <f>1-B10/B17</f>
        <v>0.75</v>
      </c>
      <c r="H10" s="101"/>
      <c r="I10" s="103"/>
      <c r="J10" s="18"/>
    </row>
    <row r="11">
      <c r="A11" s="23"/>
      <c r="B11" s="91"/>
      <c r="E11" s="92"/>
      <c r="F11" s="72"/>
      <c r="G11" s="126"/>
      <c r="I11" s="128"/>
      <c r="J11" s="18"/>
    </row>
    <row r="12">
      <c r="A12" s="23"/>
      <c r="B12" s="91"/>
      <c r="E12" s="92"/>
      <c r="F12" s="72"/>
      <c r="G12" s="126"/>
      <c r="I12" s="128"/>
      <c r="J12" s="18"/>
    </row>
    <row r="13">
      <c r="A13" s="23"/>
      <c r="B13" s="79"/>
      <c r="C13" s="149"/>
      <c r="D13" s="149"/>
      <c r="E13" s="81"/>
      <c r="F13" s="72"/>
      <c r="G13" s="105"/>
      <c r="H13" s="108"/>
      <c r="I13" s="109"/>
      <c r="J13" s="18"/>
    </row>
    <row r="14">
      <c r="A14" s="23"/>
      <c r="B14" s="182"/>
      <c r="C14" s="64"/>
      <c r="D14" s="64"/>
      <c r="E14" s="64"/>
      <c r="F14" s="96"/>
      <c r="G14" s="64"/>
      <c r="H14" s="64"/>
      <c r="I14" s="64"/>
      <c r="J14" s="18"/>
    </row>
    <row r="15">
      <c r="A15" s="23"/>
      <c r="B15" s="68" t="s">
        <v>36</v>
      </c>
      <c r="C15" s="145"/>
      <c r="D15" s="145"/>
      <c r="E15" s="69"/>
      <c r="F15" s="72"/>
      <c r="G15" s="75" t="s">
        <v>19</v>
      </c>
      <c r="H15" s="177"/>
      <c r="I15" s="77"/>
      <c r="J15" s="18"/>
    </row>
    <row r="16">
      <c r="A16" s="23"/>
      <c r="B16" s="79"/>
      <c r="C16" s="149"/>
      <c r="D16" s="149"/>
      <c r="E16" s="81"/>
      <c r="F16" s="72"/>
      <c r="G16" s="190">
        <v>0.95</v>
      </c>
      <c r="H16" s="191"/>
      <c r="I16" s="86" t="s">
        <v>70</v>
      </c>
      <c r="J16" s="18"/>
    </row>
    <row r="17">
      <c r="A17" s="23"/>
      <c r="B17" s="88">
        <v>100.0</v>
      </c>
      <c r="C17" s="145"/>
      <c r="D17" s="145"/>
      <c r="E17" s="69"/>
      <c r="F17" s="72"/>
      <c r="G17" s="193"/>
      <c r="H17" s="194"/>
      <c r="I17" s="90"/>
      <c r="J17" s="18"/>
    </row>
    <row r="18">
      <c r="A18" s="23"/>
      <c r="B18" s="91"/>
      <c r="E18" s="92"/>
      <c r="F18" s="94"/>
      <c r="G18" s="196"/>
      <c r="H18" s="62"/>
      <c r="I18" s="62"/>
      <c r="J18" s="18"/>
    </row>
    <row r="19">
      <c r="A19" s="23"/>
      <c r="B19" s="91"/>
      <c r="E19" s="92"/>
      <c r="F19" s="94"/>
      <c r="G19" s="94"/>
      <c r="H19" s="96"/>
      <c r="I19" s="96"/>
      <c r="J19" s="18"/>
    </row>
    <row r="20">
      <c r="A20" s="23"/>
      <c r="B20" s="79"/>
      <c r="C20" s="149"/>
      <c r="D20" s="149"/>
      <c r="E20" s="81"/>
      <c r="F20" s="94"/>
      <c r="G20" s="94"/>
      <c r="H20" s="96"/>
      <c r="I20" s="96"/>
      <c r="J20" s="18"/>
    </row>
    <row r="21">
      <c r="A21" s="23"/>
      <c r="B21" s="182"/>
      <c r="C21" s="133"/>
      <c r="D21" s="133"/>
      <c r="E21" s="133"/>
      <c r="F21" s="64"/>
      <c r="G21" s="189"/>
      <c r="H21" s="189"/>
      <c r="I21" s="189"/>
      <c r="J21" s="18"/>
    </row>
    <row r="22">
      <c r="A22" s="23"/>
      <c r="B22" s="135" t="s">
        <v>74</v>
      </c>
      <c r="C22" s="137"/>
      <c r="D22" s="137"/>
      <c r="E22" s="138"/>
      <c r="F22" s="198"/>
      <c r="G22" s="147" t="s">
        <v>38</v>
      </c>
      <c r="H22" s="137"/>
      <c r="I22" s="138"/>
      <c r="J22" s="18"/>
    </row>
    <row r="23">
      <c r="A23" s="23"/>
      <c r="B23" s="142" t="s">
        <v>76</v>
      </c>
      <c r="E23" s="143"/>
      <c r="F23" s="198"/>
      <c r="G23" s="152" t="s">
        <v>39</v>
      </c>
      <c r="H23" s="152" t="s">
        <v>78</v>
      </c>
      <c r="I23" s="152" t="s">
        <v>41</v>
      </c>
      <c r="J23" s="18"/>
    </row>
    <row r="24">
      <c r="A24" s="23"/>
      <c r="B24" s="85"/>
      <c r="E24" s="143"/>
      <c r="F24" s="202"/>
      <c r="G24" s="203">
        <v>0.77</v>
      </c>
      <c r="H24" s="203">
        <v>0.75</v>
      </c>
      <c r="I24" s="203">
        <v>0.75</v>
      </c>
      <c r="J24" s="18"/>
    </row>
    <row r="25">
      <c r="A25" s="23"/>
      <c r="B25" s="85"/>
      <c r="E25" s="143"/>
      <c r="F25" s="198"/>
      <c r="G25" s="152" t="s">
        <v>42</v>
      </c>
      <c r="H25" s="152" t="s">
        <v>43</v>
      </c>
      <c r="I25" s="152" t="s">
        <v>44</v>
      </c>
      <c r="J25" s="18"/>
    </row>
    <row r="26">
      <c r="A26" s="23"/>
      <c r="B26" s="85"/>
      <c r="E26" s="143"/>
      <c r="F26" s="204"/>
      <c r="G26" s="205" t="s">
        <v>79</v>
      </c>
      <c r="H26" s="205" t="s">
        <v>79</v>
      </c>
      <c r="I26" s="205" t="s">
        <v>79</v>
      </c>
      <c r="J26" s="18"/>
    </row>
    <row r="27">
      <c r="A27" s="23"/>
      <c r="B27" s="85"/>
      <c r="E27" s="143"/>
      <c r="F27" s="198"/>
      <c r="G27" s="152" t="s">
        <v>48</v>
      </c>
      <c r="H27" s="152" t="s">
        <v>49</v>
      </c>
      <c r="I27" s="152" t="s">
        <v>50</v>
      </c>
      <c r="J27" s="18"/>
    </row>
    <row r="28">
      <c r="A28" s="23"/>
      <c r="B28" s="85"/>
      <c r="E28" s="143"/>
      <c r="F28" s="204"/>
      <c r="G28" s="205" t="s">
        <v>79</v>
      </c>
      <c r="H28" s="205" t="s">
        <v>79</v>
      </c>
      <c r="I28" s="205" t="s">
        <v>79</v>
      </c>
      <c r="J28" s="18"/>
    </row>
    <row r="29">
      <c r="A29" s="23"/>
      <c r="B29" s="85"/>
      <c r="E29" s="143"/>
      <c r="F29" s="198"/>
      <c r="G29" s="152" t="s">
        <v>53</v>
      </c>
      <c r="H29" s="152" t="s">
        <v>54</v>
      </c>
      <c r="I29" s="152" t="s">
        <v>55</v>
      </c>
      <c r="J29" s="18"/>
    </row>
    <row r="30">
      <c r="A30" s="23"/>
      <c r="B30" s="117"/>
      <c r="C30" s="118"/>
      <c r="D30" s="118"/>
      <c r="E30" s="146"/>
      <c r="F30" s="204"/>
      <c r="G30" s="205" t="s">
        <v>79</v>
      </c>
      <c r="H30" s="205" t="s">
        <v>79</v>
      </c>
      <c r="I30" s="205" t="s">
        <v>79</v>
      </c>
      <c r="J30" s="18"/>
    </row>
    <row r="31" ht="32.25" customHeight="1">
      <c r="A31" s="134"/>
      <c r="B31" s="196"/>
      <c r="C31" s="62"/>
      <c r="D31" s="62"/>
      <c r="E31" s="62"/>
      <c r="F31" s="62"/>
      <c r="G31" s="62"/>
      <c r="H31" s="62"/>
      <c r="I31" s="62"/>
      <c r="J31" s="148"/>
    </row>
  </sheetData>
  <mergeCells count="22">
    <mergeCell ref="C5:E5"/>
    <mergeCell ref="C6:E6"/>
    <mergeCell ref="B5:B6"/>
    <mergeCell ref="B8:E9"/>
    <mergeCell ref="G8:I9"/>
    <mergeCell ref="B10:E13"/>
    <mergeCell ref="G10:I13"/>
    <mergeCell ref="B15:E16"/>
    <mergeCell ref="G15:I15"/>
    <mergeCell ref="G16:H17"/>
    <mergeCell ref="I16:I17"/>
    <mergeCell ref="B17:E20"/>
    <mergeCell ref="B22:E22"/>
    <mergeCell ref="G22:I22"/>
    <mergeCell ref="B23:E30"/>
    <mergeCell ref="B1:I1"/>
    <mergeCell ref="J1:J31"/>
    <mergeCell ref="A2:A31"/>
    <mergeCell ref="B2:G4"/>
    <mergeCell ref="H2:I4"/>
    <mergeCell ref="F5:I5"/>
    <mergeCell ref="F6:I6"/>
  </mergeCells>
  <hyperlinks>
    <hyperlink r:id="rId1" ref="H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7.5"/>
    <col customWidth="1" min="3" max="3" width="18.25"/>
    <col customWidth="1" min="4" max="4" width="5.25"/>
    <col customWidth="1" min="5" max="5" width="16.13"/>
    <col customWidth="1" min="7" max="7" width="5.88"/>
    <col customWidth="1" min="10" max="10" width="8.25"/>
  </cols>
  <sheetData>
    <row r="1" ht="38.25" customHeight="1">
      <c r="A1" s="1"/>
      <c r="B1" s="3"/>
      <c r="C1" s="3"/>
      <c r="D1" s="3"/>
      <c r="E1" s="3"/>
      <c r="F1" s="3"/>
      <c r="G1" s="3"/>
      <c r="H1" s="3"/>
      <c r="I1" s="3"/>
      <c r="J1" s="4"/>
    </row>
    <row r="2">
      <c r="A2" s="5"/>
      <c r="B2" s="207" t="s">
        <v>80</v>
      </c>
      <c r="H2" s="21" t="s">
        <v>81</v>
      </c>
      <c r="I2" s="22"/>
      <c r="J2" s="24"/>
    </row>
    <row r="3">
      <c r="A3" s="18"/>
      <c r="H3" s="27"/>
      <c r="I3" s="28"/>
      <c r="J3" s="18"/>
    </row>
    <row r="4">
      <c r="A4" s="18"/>
      <c r="H4" s="34"/>
      <c r="I4" s="35"/>
      <c r="J4" s="18"/>
    </row>
    <row r="5">
      <c r="A5" s="18"/>
      <c r="B5" s="215"/>
      <c r="C5" s="215"/>
      <c r="D5" s="215"/>
      <c r="E5" s="215"/>
      <c r="F5" s="215"/>
      <c r="G5" s="215"/>
      <c r="H5" s="215"/>
      <c r="I5" s="215"/>
      <c r="J5" s="18"/>
    </row>
    <row r="6">
      <c r="A6" s="18"/>
      <c r="B6" s="219" t="s">
        <v>88</v>
      </c>
      <c r="C6" s="221"/>
      <c r="D6" s="221"/>
      <c r="E6" s="221"/>
      <c r="F6" s="222"/>
      <c r="G6" s="224"/>
      <c r="H6" s="227" t="s">
        <v>94</v>
      </c>
      <c r="I6" s="12"/>
      <c r="J6" s="18"/>
    </row>
    <row r="7">
      <c r="A7" s="18"/>
      <c r="B7" s="47"/>
      <c r="C7" s="173"/>
      <c r="D7" s="173"/>
      <c r="E7" s="173"/>
      <c r="F7" s="229"/>
      <c r="G7" s="224"/>
      <c r="H7" s="29"/>
      <c r="I7" s="32"/>
      <c r="J7" s="18"/>
    </row>
    <row r="8">
      <c r="A8" s="18"/>
      <c r="B8" s="230"/>
      <c r="C8" s="208"/>
      <c r="D8" s="151"/>
      <c r="E8" s="62"/>
      <c r="F8" s="100"/>
      <c r="G8" s="232"/>
      <c r="H8" s="237" t="s">
        <v>97</v>
      </c>
      <c r="I8" s="143"/>
      <c r="J8" s="18"/>
    </row>
    <row r="9">
      <c r="A9" s="18"/>
      <c r="B9" s="241" t="s">
        <v>108</v>
      </c>
      <c r="C9" s="243"/>
      <c r="D9" s="201"/>
      <c r="E9" s="189"/>
      <c r="F9" s="247"/>
      <c r="G9" s="232"/>
      <c r="I9" s="143"/>
      <c r="J9" s="18"/>
    </row>
    <row r="10">
      <c r="A10" s="18"/>
      <c r="B10" s="254">
        <v>1.0</v>
      </c>
      <c r="C10" s="69"/>
      <c r="D10" s="258"/>
      <c r="E10" s="99" t="s">
        <v>112</v>
      </c>
      <c r="F10" s="103"/>
      <c r="G10" s="232"/>
      <c r="I10" s="143"/>
      <c r="J10" s="18"/>
    </row>
    <row r="11">
      <c r="A11" s="18"/>
      <c r="B11" s="79"/>
      <c r="C11" s="81"/>
      <c r="D11" s="258"/>
      <c r="E11" s="105"/>
      <c r="F11" s="109"/>
      <c r="G11" s="232"/>
      <c r="I11" s="143"/>
      <c r="J11" s="18"/>
    </row>
    <row r="12">
      <c r="A12" s="18"/>
      <c r="B12" s="230"/>
      <c r="C12" s="208"/>
      <c r="D12" s="265"/>
      <c r="E12" s="273">
        <f>B10*B10*B14</f>
        <v>15</v>
      </c>
      <c r="F12" s="103"/>
      <c r="G12" s="232"/>
      <c r="I12" s="143"/>
      <c r="J12" s="18"/>
    </row>
    <row r="13">
      <c r="A13" s="18"/>
      <c r="B13" s="241" t="s">
        <v>116</v>
      </c>
      <c r="C13" s="243"/>
      <c r="D13" s="258"/>
      <c r="E13" s="126"/>
      <c r="F13" s="128"/>
      <c r="G13" s="232"/>
      <c r="I13" s="143"/>
      <c r="J13" s="18"/>
    </row>
    <row r="14">
      <c r="A14" s="18"/>
      <c r="B14" s="254">
        <v>15.0</v>
      </c>
      <c r="C14" s="69"/>
      <c r="D14" s="258"/>
      <c r="E14" s="105"/>
      <c r="F14" s="109"/>
      <c r="G14" s="232"/>
      <c r="I14" s="143"/>
      <c r="J14" s="18"/>
    </row>
    <row r="15">
      <c r="A15" s="18"/>
      <c r="B15" s="79"/>
      <c r="C15" s="81"/>
      <c r="D15" s="201"/>
      <c r="E15" s="62"/>
      <c r="F15" s="100"/>
      <c r="G15" s="232"/>
      <c r="I15" s="143"/>
      <c r="J15" s="18"/>
    </row>
    <row r="16">
      <c r="A16" s="18"/>
      <c r="B16" s="153"/>
      <c r="C16" s="153"/>
      <c r="D16" s="153"/>
      <c r="E16" s="96"/>
      <c r="F16" s="96"/>
      <c r="G16" s="232"/>
      <c r="H16" s="118"/>
      <c r="I16" s="146"/>
      <c r="J16" s="18"/>
    </row>
    <row r="17">
      <c r="A17" s="18"/>
      <c r="B17" s="153"/>
      <c r="C17" s="153"/>
      <c r="D17" s="153"/>
      <c r="E17" s="153"/>
      <c r="F17" s="153"/>
      <c r="G17" s="151"/>
      <c r="H17" s="151"/>
      <c r="I17" s="151"/>
      <c r="J17" s="18"/>
    </row>
    <row r="18">
      <c r="A18" s="18"/>
      <c r="B18" s="215"/>
      <c r="C18" s="215"/>
      <c r="D18" s="215"/>
      <c r="E18" s="215"/>
      <c r="F18" s="215"/>
      <c r="G18" s="215"/>
      <c r="H18" s="215"/>
      <c r="I18" s="215"/>
      <c r="J18" s="18"/>
    </row>
    <row r="19">
      <c r="A19" s="18"/>
      <c r="B19" s="219" t="s">
        <v>126</v>
      </c>
      <c r="C19" s="221"/>
      <c r="D19" s="221"/>
      <c r="E19" s="221"/>
      <c r="F19" s="222"/>
      <c r="G19" s="280"/>
      <c r="H19" s="227" t="s">
        <v>127</v>
      </c>
      <c r="I19" s="12"/>
      <c r="J19" s="18"/>
    </row>
    <row r="20">
      <c r="A20" s="18"/>
      <c r="B20" s="47"/>
      <c r="C20" s="173"/>
      <c r="D20" s="173"/>
      <c r="E20" s="173"/>
      <c r="F20" s="229"/>
      <c r="G20" s="280"/>
      <c r="H20" s="29"/>
      <c r="I20" s="32"/>
      <c r="J20" s="18"/>
    </row>
    <row r="21">
      <c r="A21" s="18"/>
      <c r="B21" s="230"/>
      <c r="C21" s="208"/>
      <c r="D21" s="151"/>
      <c r="E21" s="62"/>
      <c r="F21" s="100"/>
      <c r="G21" s="284"/>
      <c r="H21" s="286" t="s">
        <v>129</v>
      </c>
      <c r="I21" s="288"/>
      <c r="J21" s="18"/>
    </row>
    <row r="22">
      <c r="A22" s="18"/>
      <c r="B22" s="241" t="s">
        <v>131</v>
      </c>
      <c r="C22" s="243"/>
      <c r="D22" s="201"/>
      <c r="E22" s="189"/>
      <c r="F22" s="247"/>
      <c r="G22" s="284"/>
      <c r="H22" s="85"/>
      <c r="I22" s="143"/>
      <c r="J22" s="18"/>
    </row>
    <row r="23">
      <c r="A23" s="18"/>
      <c r="B23" s="254">
        <v>6.0</v>
      </c>
      <c r="C23" s="69"/>
      <c r="D23" s="258"/>
      <c r="E23" s="99" t="s">
        <v>132</v>
      </c>
      <c r="F23" s="103"/>
      <c r="G23" s="295"/>
      <c r="H23" s="85"/>
      <c r="I23" s="143"/>
      <c r="J23" s="18"/>
    </row>
    <row r="24">
      <c r="A24" s="18"/>
      <c r="B24" s="79"/>
      <c r="C24" s="81"/>
      <c r="D24" s="258"/>
      <c r="E24" s="105"/>
      <c r="F24" s="109"/>
      <c r="G24" s="295"/>
      <c r="H24" s="85"/>
      <c r="I24" s="143"/>
      <c r="J24" s="18"/>
    </row>
    <row r="25">
      <c r="A25" s="18"/>
      <c r="B25" s="230"/>
      <c r="C25" s="208"/>
      <c r="D25" s="265"/>
      <c r="E25" s="122">
        <f>B23/B27</f>
        <v>0.1363636364</v>
      </c>
      <c r="F25" s="103"/>
      <c r="G25" s="295"/>
      <c r="H25" s="85"/>
      <c r="I25" s="143"/>
      <c r="J25" s="18"/>
    </row>
    <row r="26">
      <c r="A26" s="18"/>
      <c r="B26" s="241" t="s">
        <v>137</v>
      </c>
      <c r="C26" s="243"/>
      <c r="D26" s="258"/>
      <c r="E26" s="126"/>
      <c r="F26" s="128"/>
      <c r="G26" s="295"/>
      <c r="H26" s="85"/>
      <c r="I26" s="143"/>
      <c r="J26" s="18"/>
    </row>
    <row r="27">
      <c r="A27" s="18"/>
      <c r="B27" s="254">
        <v>44.0</v>
      </c>
      <c r="C27" s="69"/>
      <c r="D27" s="258"/>
      <c r="E27" s="105"/>
      <c r="F27" s="109"/>
      <c r="G27" s="295"/>
      <c r="H27" s="85"/>
      <c r="I27" s="143"/>
      <c r="J27" s="18"/>
    </row>
    <row r="28">
      <c r="A28" s="18"/>
      <c r="B28" s="79"/>
      <c r="C28" s="81"/>
      <c r="D28" s="201"/>
      <c r="E28" s="62"/>
      <c r="F28" s="62"/>
      <c r="G28" s="309"/>
      <c r="H28" s="117"/>
      <c r="I28" s="146"/>
      <c r="J28" s="18"/>
    </row>
    <row r="29">
      <c r="A29" s="18"/>
      <c r="B29" s="151"/>
      <c r="C29" s="151"/>
      <c r="D29" s="153"/>
      <c r="E29" s="96"/>
      <c r="F29" s="96"/>
      <c r="G29" s="96"/>
      <c r="H29" s="62"/>
      <c r="I29" s="62"/>
      <c r="J29" s="18"/>
    </row>
    <row r="30">
      <c r="A30" s="18"/>
      <c r="B30" s="153"/>
      <c r="C30" s="153"/>
      <c r="D30" s="153"/>
      <c r="E30" s="96"/>
      <c r="F30" s="96"/>
      <c r="G30" s="96"/>
      <c r="H30" s="96"/>
      <c r="I30" s="96"/>
      <c r="J30" s="18"/>
    </row>
    <row r="31">
      <c r="A31" s="148"/>
      <c r="B31" s="153"/>
      <c r="C31" s="153"/>
      <c r="D31" s="153"/>
      <c r="E31" s="96"/>
      <c r="F31" s="96"/>
      <c r="G31" s="96"/>
      <c r="H31" s="96"/>
      <c r="I31" s="96"/>
      <c r="J31" s="148"/>
    </row>
  </sheetData>
  <mergeCells count="23">
    <mergeCell ref="B14:C15"/>
    <mergeCell ref="B19:F20"/>
    <mergeCell ref="A1:J1"/>
    <mergeCell ref="A2:A31"/>
    <mergeCell ref="B2:G4"/>
    <mergeCell ref="H2:I4"/>
    <mergeCell ref="J2:J31"/>
    <mergeCell ref="H6:I7"/>
    <mergeCell ref="H8:I16"/>
    <mergeCell ref="B6:F7"/>
    <mergeCell ref="B9:C9"/>
    <mergeCell ref="B10:C11"/>
    <mergeCell ref="E10:F11"/>
    <mergeCell ref="E12:F14"/>
    <mergeCell ref="B13:C13"/>
    <mergeCell ref="H19:I20"/>
    <mergeCell ref="H21:I28"/>
    <mergeCell ref="B22:C22"/>
    <mergeCell ref="B23:C24"/>
    <mergeCell ref="E23:F24"/>
    <mergeCell ref="E25:F27"/>
    <mergeCell ref="B26:C26"/>
    <mergeCell ref="B27:C28"/>
  </mergeCells>
  <hyperlinks>
    <hyperlink r:id="rId1" ref="H2"/>
    <hyperlink r:id="rId2" ref="H8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7.5"/>
    <col customWidth="1" min="3" max="3" width="18.25"/>
    <col customWidth="1" min="4" max="4" width="16.13"/>
    <col customWidth="1" min="5" max="5" width="9.0"/>
    <col customWidth="1" min="9" max="9" width="7.0"/>
  </cols>
  <sheetData>
    <row r="1" ht="34.5" customHeight="1">
      <c r="A1" s="6"/>
      <c r="B1" s="8"/>
      <c r="C1" s="8"/>
      <c r="D1" s="8"/>
      <c r="E1" s="8"/>
      <c r="F1" s="8"/>
      <c r="G1" s="8"/>
      <c r="H1" s="8"/>
      <c r="I1" s="16"/>
    </row>
    <row r="2">
      <c r="A2" s="6"/>
      <c r="B2" s="19" t="s">
        <v>82</v>
      </c>
      <c r="C2" s="10"/>
      <c r="D2" s="10"/>
      <c r="E2" s="10"/>
      <c r="F2" s="12"/>
      <c r="G2" s="21" t="s">
        <v>83</v>
      </c>
      <c r="H2" s="22"/>
      <c r="I2" s="24"/>
    </row>
    <row r="3">
      <c r="A3" s="23"/>
      <c r="B3" s="25"/>
      <c r="F3" s="26"/>
      <c r="G3" s="27"/>
      <c r="H3" s="28"/>
      <c r="I3" s="18"/>
    </row>
    <row r="4">
      <c r="A4" s="23"/>
      <c r="B4" s="29"/>
      <c r="C4" s="30"/>
      <c r="D4" s="30"/>
      <c r="E4" s="30"/>
      <c r="F4" s="32"/>
      <c r="G4" s="34"/>
      <c r="H4" s="35"/>
      <c r="I4" s="18"/>
    </row>
    <row r="5">
      <c r="A5" s="23"/>
      <c r="B5" s="163" t="s">
        <v>8</v>
      </c>
      <c r="C5" s="164" t="s">
        <v>9</v>
      </c>
      <c r="D5" s="166"/>
      <c r="E5" s="167"/>
      <c r="F5" s="168" t="s">
        <v>10</v>
      </c>
      <c r="G5" s="170"/>
      <c r="H5" s="171"/>
      <c r="I5" s="18"/>
    </row>
    <row r="6">
      <c r="A6" s="23"/>
      <c r="B6" s="173"/>
      <c r="C6" s="209">
        <v>45170.0</v>
      </c>
      <c r="D6" s="210"/>
      <c r="E6" s="211"/>
      <c r="F6" s="212">
        <v>45199.0</v>
      </c>
      <c r="G6" s="213"/>
      <c r="H6" s="214"/>
      <c r="I6" s="18"/>
    </row>
    <row r="7">
      <c r="A7" s="23"/>
      <c r="B7" s="216"/>
      <c r="C7" s="217"/>
      <c r="D7" s="217"/>
      <c r="E7" s="218"/>
      <c r="F7" s="96"/>
      <c r="G7" s="96"/>
      <c r="H7" s="96"/>
      <c r="I7" s="18"/>
    </row>
    <row r="8">
      <c r="A8" s="23"/>
      <c r="B8" s="220" t="s">
        <v>89</v>
      </c>
      <c r="C8" s="220" t="s">
        <v>90</v>
      </c>
      <c r="D8" s="220" t="s">
        <v>91</v>
      </c>
      <c r="E8" s="223" t="s">
        <v>92</v>
      </c>
      <c r="F8" s="225" t="s">
        <v>93</v>
      </c>
      <c r="G8" s="226"/>
      <c r="H8" s="226"/>
      <c r="I8" s="18"/>
    </row>
    <row r="9">
      <c r="A9" s="23"/>
      <c r="B9" s="228" t="s">
        <v>95</v>
      </c>
      <c r="C9" s="228">
        <v>150.0</v>
      </c>
      <c r="D9" s="228">
        <v>25.0</v>
      </c>
      <c r="E9" s="231">
        <f t="shared" ref="E9:E14" si="1">IFERROR(D9/C9,"0%")</f>
        <v>0.1666666667</v>
      </c>
      <c r="F9" s="231">
        <f t="shared" ref="F9:F14" si="2">D9/$C$17</f>
        <v>0.1072961373</v>
      </c>
      <c r="G9" s="226"/>
      <c r="H9" s="226"/>
      <c r="I9" s="18"/>
    </row>
    <row r="10">
      <c r="A10" s="23"/>
      <c r="B10" s="228" t="s">
        <v>98</v>
      </c>
      <c r="C10" s="228">
        <v>50.0</v>
      </c>
      <c r="D10" s="228">
        <v>15.0</v>
      </c>
      <c r="E10" s="231">
        <f t="shared" si="1"/>
        <v>0.3</v>
      </c>
      <c r="F10" s="231">
        <f t="shared" si="2"/>
        <v>0.0643776824</v>
      </c>
      <c r="G10" s="226"/>
      <c r="H10" s="226"/>
      <c r="I10" s="18"/>
    </row>
    <row r="11">
      <c r="A11" s="23"/>
      <c r="B11" s="228" t="s">
        <v>102</v>
      </c>
      <c r="C11" s="228">
        <v>20.0</v>
      </c>
      <c r="D11" s="228">
        <v>4.0</v>
      </c>
      <c r="E11" s="231">
        <f t="shared" si="1"/>
        <v>0.2</v>
      </c>
      <c r="F11" s="231">
        <f t="shared" si="2"/>
        <v>0.01716738197</v>
      </c>
      <c r="G11" s="226"/>
      <c r="H11" s="226"/>
      <c r="I11" s="18"/>
    </row>
    <row r="12">
      <c r="A12" s="23"/>
      <c r="B12" s="228" t="s">
        <v>105</v>
      </c>
      <c r="C12" s="228">
        <v>13.0</v>
      </c>
      <c r="D12" s="228">
        <v>1.0</v>
      </c>
      <c r="E12" s="231">
        <f t="shared" si="1"/>
        <v>0.07692307692</v>
      </c>
      <c r="F12" s="231">
        <f t="shared" si="2"/>
        <v>0.004291845494</v>
      </c>
      <c r="G12" s="226"/>
      <c r="H12" s="226"/>
      <c r="I12" s="18"/>
    </row>
    <row r="13">
      <c r="A13" s="23"/>
      <c r="B13" s="240" t="s">
        <v>79</v>
      </c>
      <c r="C13" s="228">
        <v>0.0</v>
      </c>
      <c r="D13" s="228">
        <v>0.0</v>
      </c>
      <c r="E13" s="231" t="str">
        <f t="shared" si="1"/>
        <v>0%</v>
      </c>
      <c r="F13" s="231">
        <f t="shared" si="2"/>
        <v>0</v>
      </c>
      <c r="G13" s="226"/>
      <c r="H13" s="226"/>
      <c r="I13" s="18"/>
    </row>
    <row r="14">
      <c r="A14" s="23"/>
      <c r="B14" s="240" t="s">
        <v>79</v>
      </c>
      <c r="C14" s="244">
        <v>0.0</v>
      </c>
      <c r="D14" s="244">
        <v>0.0</v>
      </c>
      <c r="E14" s="246" t="str">
        <f t="shared" si="1"/>
        <v>0%</v>
      </c>
      <c r="F14" s="246">
        <f t="shared" si="2"/>
        <v>0</v>
      </c>
      <c r="G14" s="226"/>
      <c r="H14" s="226"/>
      <c r="I14" s="18"/>
    </row>
    <row r="15">
      <c r="A15" s="23"/>
      <c r="B15" s="249"/>
      <c r="C15" s="250"/>
      <c r="D15" s="250"/>
      <c r="E15" s="252"/>
      <c r="F15" s="252"/>
      <c r="G15" s="226"/>
      <c r="H15" s="226"/>
      <c r="I15" s="18"/>
    </row>
    <row r="16">
      <c r="A16" s="23"/>
      <c r="B16" s="255"/>
      <c r="C16" s="257" t="s">
        <v>109</v>
      </c>
      <c r="D16" s="257" t="s">
        <v>110</v>
      </c>
      <c r="E16" s="257" t="s">
        <v>111</v>
      </c>
      <c r="G16" s="260"/>
      <c r="H16" s="260"/>
      <c r="I16" s="18"/>
    </row>
    <row r="17">
      <c r="A17" s="23"/>
      <c r="B17" s="261"/>
      <c r="C17" s="264">
        <f t="shared" ref="C17:D17" si="3">SUM(C9:C16)</f>
        <v>233</v>
      </c>
      <c r="D17" s="264">
        <f t="shared" si="3"/>
        <v>45</v>
      </c>
      <c r="E17" s="267">
        <f>D17/C17</f>
        <v>0.1931330472</v>
      </c>
      <c r="G17" s="226"/>
      <c r="H17" s="226"/>
      <c r="I17" s="18"/>
    </row>
    <row r="18">
      <c r="A18" s="23"/>
      <c r="B18" s="261"/>
      <c r="C18" s="261"/>
      <c r="D18" s="261"/>
      <c r="E18" s="261"/>
      <c r="F18" s="96"/>
      <c r="G18" s="226"/>
      <c r="H18" s="226"/>
      <c r="I18" s="18"/>
    </row>
    <row r="19">
      <c r="A19" s="23"/>
      <c r="B19" s="272" t="s">
        <v>114</v>
      </c>
      <c r="C19" s="30"/>
      <c r="D19" s="30"/>
      <c r="E19" s="32"/>
      <c r="F19" s="94"/>
      <c r="G19" s="62"/>
      <c r="H19" s="274"/>
      <c r="I19" s="18"/>
    </row>
    <row r="20">
      <c r="A20" s="23"/>
      <c r="B20" s="276" t="s">
        <v>118</v>
      </c>
      <c r="E20" s="143"/>
      <c r="F20" s="94"/>
      <c r="G20" s="96"/>
      <c r="H20" s="96"/>
      <c r="I20" s="18"/>
    </row>
    <row r="21">
      <c r="A21" s="23"/>
      <c r="E21" s="143"/>
      <c r="F21" s="94"/>
      <c r="G21" s="96"/>
      <c r="H21" s="96"/>
      <c r="I21" s="18"/>
    </row>
    <row r="22">
      <c r="A22" s="23"/>
      <c r="E22" s="143"/>
      <c r="F22" s="94"/>
      <c r="G22" s="96"/>
      <c r="H22" s="96"/>
      <c r="I22" s="18"/>
    </row>
    <row r="23">
      <c r="A23" s="23"/>
      <c r="E23" s="143"/>
      <c r="F23" s="94"/>
      <c r="G23" s="96"/>
      <c r="H23" s="96"/>
      <c r="I23" s="18"/>
    </row>
    <row r="24">
      <c r="A24" s="23"/>
      <c r="B24" s="118"/>
      <c r="C24" s="118"/>
      <c r="D24" s="118"/>
      <c r="E24" s="146"/>
      <c r="F24" s="94"/>
      <c r="G24" s="96"/>
      <c r="H24" s="96"/>
      <c r="I24" s="18"/>
    </row>
    <row r="25">
      <c r="A25" s="23"/>
      <c r="B25" s="200"/>
      <c r="C25" s="208"/>
      <c r="D25" s="208"/>
      <c r="E25" s="64"/>
      <c r="F25" s="189"/>
      <c r="G25" s="189"/>
      <c r="H25" s="189"/>
      <c r="I25" s="18"/>
    </row>
    <row r="26">
      <c r="A26" s="23"/>
      <c r="B26" s="201"/>
      <c r="C26" s="153"/>
      <c r="D26" s="153"/>
      <c r="E26" s="96"/>
      <c r="F26" s="96"/>
      <c r="G26" s="96"/>
      <c r="H26" s="96"/>
      <c r="I26" s="18"/>
    </row>
    <row r="27">
      <c r="A27" s="134"/>
      <c r="B27" s="94"/>
      <c r="C27" s="62"/>
      <c r="D27" s="62"/>
      <c r="E27" s="62"/>
      <c r="F27" s="62"/>
      <c r="G27" s="62"/>
      <c r="H27" s="62"/>
      <c r="I27" s="148"/>
    </row>
  </sheetData>
  <mergeCells count="14">
    <mergeCell ref="C5:E5"/>
    <mergeCell ref="C6:E6"/>
    <mergeCell ref="F6:H6"/>
    <mergeCell ref="E16:F16"/>
    <mergeCell ref="E17:F17"/>
    <mergeCell ref="B19:E19"/>
    <mergeCell ref="A1:I1"/>
    <mergeCell ref="A2:A27"/>
    <mergeCell ref="B2:F4"/>
    <mergeCell ref="G2:H4"/>
    <mergeCell ref="I2:I27"/>
    <mergeCell ref="B5:B6"/>
    <mergeCell ref="F5:H5"/>
    <mergeCell ref="B20:E24"/>
  </mergeCells>
  <hyperlinks>
    <hyperlink r:id="rId1" ref="G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2.75"/>
    <col customWidth="1" min="3" max="3" width="27.5"/>
    <col customWidth="1" min="4" max="4" width="18.25"/>
    <col customWidth="1" min="5" max="5" width="16.13"/>
    <col customWidth="1" min="6" max="6" width="9.0"/>
    <col customWidth="1" min="10" max="10" width="7.25"/>
  </cols>
  <sheetData>
    <row r="1" ht="32.25" customHeight="1">
      <c r="A1" s="5"/>
      <c r="B1" s="24"/>
      <c r="C1" s="7"/>
      <c r="D1" s="8"/>
      <c r="E1" s="8"/>
      <c r="F1" s="8"/>
      <c r="G1" s="8"/>
      <c r="H1" s="8"/>
      <c r="I1" s="8"/>
      <c r="J1" s="16"/>
    </row>
    <row r="2">
      <c r="A2" s="18"/>
      <c r="B2" s="207"/>
      <c r="C2" s="19" t="s">
        <v>85</v>
      </c>
      <c r="D2" s="10"/>
      <c r="E2" s="10"/>
      <c r="F2" s="10"/>
      <c r="G2" s="12"/>
      <c r="H2" s="21" t="s">
        <v>87</v>
      </c>
      <c r="I2" s="22"/>
      <c r="J2" s="24"/>
    </row>
    <row r="3">
      <c r="A3" s="18"/>
      <c r="B3" s="207"/>
      <c r="C3" s="25"/>
      <c r="G3" s="26"/>
      <c r="H3" s="27"/>
      <c r="I3" s="28"/>
      <c r="J3" s="18"/>
    </row>
    <row r="4">
      <c r="A4" s="18"/>
      <c r="B4" s="207"/>
      <c r="C4" s="29"/>
      <c r="D4" s="30"/>
      <c r="E4" s="30"/>
      <c r="F4" s="30"/>
      <c r="G4" s="32"/>
      <c r="H4" s="34"/>
      <c r="I4" s="35"/>
      <c r="J4" s="18"/>
    </row>
    <row r="5">
      <c r="A5" s="18"/>
      <c r="B5" s="58"/>
      <c r="C5" s="58"/>
      <c r="D5" s="58"/>
      <c r="E5" s="58"/>
      <c r="F5" s="58"/>
      <c r="G5" s="58"/>
      <c r="H5" s="58"/>
      <c r="I5" s="58"/>
      <c r="J5" s="18"/>
    </row>
    <row r="6">
      <c r="A6" s="18"/>
      <c r="B6" s="56"/>
      <c r="C6" s="56"/>
      <c r="D6" s="58"/>
      <c r="E6" s="58"/>
      <c r="F6" s="60"/>
      <c r="G6" s="62"/>
      <c r="H6" s="96"/>
      <c r="I6" s="96"/>
      <c r="J6" s="18"/>
    </row>
    <row r="7">
      <c r="A7" s="18"/>
      <c r="B7" s="234" t="s">
        <v>100</v>
      </c>
      <c r="C7" s="236" t="s">
        <v>103</v>
      </c>
      <c r="D7" s="238" t="s">
        <v>107</v>
      </c>
      <c r="E7" s="245" t="s">
        <v>85</v>
      </c>
      <c r="F7" s="69"/>
      <c r="G7" s="72"/>
      <c r="H7" s="239"/>
      <c r="I7" s="4"/>
      <c r="J7" s="18"/>
    </row>
    <row r="8" ht="19.5" customHeight="1">
      <c r="A8" s="18"/>
      <c r="B8" s="253"/>
      <c r="C8" s="79"/>
      <c r="D8" s="149"/>
      <c r="E8" s="149"/>
      <c r="F8" s="81"/>
      <c r="G8" s="72"/>
      <c r="H8" s="248"/>
      <c r="I8" s="251"/>
      <c r="J8" s="18"/>
    </row>
    <row r="9">
      <c r="A9" s="18"/>
      <c r="B9" s="256" t="s">
        <v>113</v>
      </c>
      <c r="C9" s="262">
        <v>44947.0</v>
      </c>
      <c r="D9" s="262">
        <v>44972.0</v>
      </c>
      <c r="E9" s="269">
        <f t="shared" ref="E9:E15" si="1">D9-C9</f>
        <v>25</v>
      </c>
      <c r="F9" s="270"/>
      <c r="G9" s="72"/>
      <c r="H9" s="148"/>
      <c r="I9" s="148"/>
      <c r="J9" s="18"/>
    </row>
    <row r="10">
      <c r="A10" s="18"/>
      <c r="B10" s="256" t="s">
        <v>115</v>
      </c>
      <c r="C10" s="262">
        <v>44936.0</v>
      </c>
      <c r="D10" s="262">
        <v>44989.0</v>
      </c>
      <c r="E10" s="269">
        <f t="shared" si="1"/>
        <v>53</v>
      </c>
      <c r="F10" s="270"/>
      <c r="G10" s="72"/>
      <c r="H10" s="96"/>
      <c r="I10" s="96"/>
      <c r="J10" s="18"/>
    </row>
    <row r="11">
      <c r="A11" s="18"/>
      <c r="B11" s="256" t="s">
        <v>117</v>
      </c>
      <c r="C11" s="262">
        <v>44966.0</v>
      </c>
      <c r="D11" s="262">
        <v>44995.0</v>
      </c>
      <c r="E11" s="269">
        <f t="shared" si="1"/>
        <v>29</v>
      </c>
      <c r="F11" s="270"/>
      <c r="G11" s="72"/>
      <c r="H11" s="96"/>
      <c r="I11" s="96"/>
      <c r="J11" s="18"/>
    </row>
    <row r="12">
      <c r="A12" s="18"/>
      <c r="B12" s="256" t="s">
        <v>120</v>
      </c>
      <c r="C12" s="262">
        <v>44938.0</v>
      </c>
      <c r="D12" s="262">
        <v>44951.0</v>
      </c>
      <c r="E12" s="269">
        <f t="shared" si="1"/>
        <v>13</v>
      </c>
      <c r="F12" s="270"/>
      <c r="G12" s="72"/>
      <c r="H12" s="96"/>
      <c r="I12" s="96"/>
      <c r="J12" s="18"/>
    </row>
    <row r="13">
      <c r="A13" s="18"/>
      <c r="B13" s="256" t="s">
        <v>121</v>
      </c>
      <c r="C13" s="262">
        <v>44944.0</v>
      </c>
      <c r="D13" s="262">
        <v>44965.0</v>
      </c>
      <c r="E13" s="269">
        <f t="shared" si="1"/>
        <v>21</v>
      </c>
      <c r="F13" s="270"/>
      <c r="G13" s="72"/>
      <c r="H13" s="96"/>
      <c r="I13" s="96"/>
      <c r="J13" s="18"/>
    </row>
    <row r="14">
      <c r="A14" s="18"/>
      <c r="B14" s="256" t="s">
        <v>123</v>
      </c>
      <c r="C14" s="262">
        <v>44929.0</v>
      </c>
      <c r="D14" s="262">
        <v>44959.0</v>
      </c>
      <c r="E14" s="269">
        <f t="shared" si="1"/>
        <v>30</v>
      </c>
      <c r="F14" s="270"/>
      <c r="G14" s="94"/>
      <c r="H14" s="96"/>
      <c r="I14" s="96"/>
      <c r="J14" s="18"/>
    </row>
    <row r="15">
      <c r="A15" s="18"/>
      <c r="B15" s="256" t="s">
        <v>125</v>
      </c>
      <c r="C15" s="262">
        <v>44945.0</v>
      </c>
      <c r="D15" s="262">
        <v>44981.0</v>
      </c>
      <c r="E15" s="269">
        <f t="shared" si="1"/>
        <v>36</v>
      </c>
      <c r="F15" s="270"/>
      <c r="G15" s="94"/>
      <c r="H15" s="96"/>
      <c r="I15" s="104"/>
      <c r="J15" s="18"/>
    </row>
    <row r="16">
      <c r="A16" s="18"/>
      <c r="B16" s="279"/>
      <c r="C16" s="281"/>
      <c r="D16" s="281"/>
      <c r="E16" s="281"/>
      <c r="F16" s="282"/>
      <c r="G16" s="94"/>
      <c r="H16" s="96"/>
      <c r="I16" s="104"/>
      <c r="J16" s="18"/>
    </row>
    <row r="17">
      <c r="A17" s="18"/>
      <c r="B17" s="283" t="s">
        <v>128</v>
      </c>
      <c r="C17" s="270"/>
      <c r="D17" s="285">
        <f>AVERAGE(E9:F15)</f>
        <v>29.57142857</v>
      </c>
      <c r="E17" s="289" t="s">
        <v>130</v>
      </c>
      <c r="F17" s="270"/>
      <c r="G17" s="94"/>
      <c r="H17" s="96"/>
      <c r="I17" s="104"/>
      <c r="J17" s="18"/>
    </row>
    <row r="18">
      <c r="A18" s="18"/>
      <c r="B18" s="64"/>
      <c r="C18" s="64"/>
      <c r="D18" s="64"/>
      <c r="E18" s="64"/>
      <c r="F18" s="64"/>
      <c r="G18" s="96"/>
      <c r="H18" s="96"/>
      <c r="I18" s="104"/>
      <c r="J18" s="18"/>
    </row>
    <row r="19">
      <c r="A19" s="18"/>
      <c r="B19" s="189"/>
      <c r="C19" s="189"/>
      <c r="D19" s="292"/>
      <c r="E19" s="292"/>
      <c r="F19" s="292"/>
      <c r="G19" s="96"/>
      <c r="H19" s="96"/>
      <c r="I19" s="104"/>
      <c r="J19" s="18"/>
    </row>
    <row r="20">
      <c r="A20" s="18"/>
      <c r="B20" s="297" t="s">
        <v>133</v>
      </c>
      <c r="C20" s="299"/>
      <c r="D20" s="299"/>
      <c r="E20" s="299"/>
      <c r="F20" s="301"/>
      <c r="G20" s="94"/>
      <c r="H20" s="96"/>
      <c r="I20" s="144"/>
      <c r="J20" s="18"/>
    </row>
    <row r="21">
      <c r="A21" s="18"/>
      <c r="B21" s="142" t="s">
        <v>135</v>
      </c>
      <c r="F21" s="143"/>
      <c r="G21" s="94"/>
      <c r="H21" s="96"/>
      <c r="I21" s="104"/>
      <c r="J21" s="18"/>
    </row>
    <row r="22">
      <c r="A22" s="18"/>
      <c r="B22" s="85"/>
      <c r="F22" s="143"/>
      <c r="G22" s="94"/>
      <c r="H22" s="96"/>
      <c r="I22" s="104"/>
      <c r="J22" s="18"/>
    </row>
    <row r="23">
      <c r="A23" s="18"/>
      <c r="B23" s="85"/>
      <c r="F23" s="143"/>
      <c r="G23" s="94"/>
      <c r="H23" s="96"/>
      <c r="I23" s="104"/>
      <c r="J23" s="18"/>
    </row>
    <row r="24">
      <c r="A24" s="18"/>
      <c r="B24" s="85"/>
      <c r="F24" s="143"/>
      <c r="G24" s="94"/>
      <c r="H24" s="96"/>
      <c r="I24" s="104"/>
      <c r="J24" s="18"/>
    </row>
    <row r="25">
      <c r="A25" s="18"/>
      <c r="B25" s="85"/>
      <c r="F25" s="143"/>
      <c r="G25" s="94"/>
      <c r="H25" s="96"/>
      <c r="I25" s="104"/>
      <c r="J25" s="18"/>
    </row>
    <row r="26">
      <c r="A26" s="18"/>
      <c r="B26" s="117"/>
      <c r="C26" s="118"/>
      <c r="D26" s="118"/>
      <c r="E26" s="118"/>
      <c r="F26" s="146"/>
      <c r="G26" s="94"/>
      <c r="H26" s="96"/>
      <c r="I26" s="104"/>
      <c r="J26" s="18"/>
    </row>
    <row r="27">
      <c r="A27" s="18"/>
      <c r="B27" s="151"/>
      <c r="C27" s="151"/>
      <c r="D27" s="151"/>
      <c r="E27" s="151"/>
      <c r="F27" s="62"/>
      <c r="G27" s="96"/>
      <c r="H27" s="96"/>
      <c r="I27" s="104"/>
      <c r="J27" s="18"/>
    </row>
    <row r="28">
      <c r="A28" s="18"/>
      <c r="B28" s="153"/>
      <c r="C28" s="153"/>
      <c r="D28" s="153"/>
      <c r="E28" s="153"/>
      <c r="F28" s="96"/>
      <c r="G28" s="96"/>
      <c r="H28" s="96"/>
      <c r="I28" s="104"/>
      <c r="J28" s="18"/>
    </row>
    <row r="29">
      <c r="A29" s="148"/>
      <c r="B29" s="96"/>
      <c r="C29" s="96"/>
      <c r="D29" s="96"/>
      <c r="E29" s="96"/>
      <c r="F29" s="96"/>
      <c r="G29" s="96"/>
      <c r="H29" s="96"/>
      <c r="I29" s="104"/>
      <c r="J29" s="148"/>
    </row>
  </sheetData>
  <mergeCells count="24">
    <mergeCell ref="B20:F20"/>
    <mergeCell ref="B21:F26"/>
    <mergeCell ref="A1:A29"/>
    <mergeCell ref="C1:J1"/>
    <mergeCell ref="C2:G4"/>
    <mergeCell ref="H2:I4"/>
    <mergeCell ref="J2:J29"/>
    <mergeCell ref="B7:B8"/>
    <mergeCell ref="C7:C8"/>
    <mergeCell ref="D7:D8"/>
    <mergeCell ref="E7:F8"/>
    <mergeCell ref="H7:I7"/>
    <mergeCell ref="H8:H9"/>
    <mergeCell ref="I8:I9"/>
    <mergeCell ref="E9:F9"/>
    <mergeCell ref="E10:F10"/>
    <mergeCell ref="E11:F11"/>
    <mergeCell ref="E12:F12"/>
    <mergeCell ref="E13:F13"/>
    <mergeCell ref="E14:F14"/>
    <mergeCell ref="E15:F15"/>
    <mergeCell ref="B16:F16"/>
    <mergeCell ref="B17:C17"/>
    <mergeCell ref="E17:F17"/>
  </mergeCells>
  <hyperlinks>
    <hyperlink r:id="rId1" ref="H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2.75"/>
    <col customWidth="1" min="3" max="3" width="27.5"/>
    <col customWidth="1" min="4" max="5" width="18.25"/>
    <col customWidth="1" min="6" max="6" width="16.13"/>
    <col customWidth="1" min="10" max="10" width="7.25"/>
  </cols>
  <sheetData>
    <row r="1" ht="32.25" customHeight="1">
      <c r="A1" s="5"/>
      <c r="B1" s="24"/>
      <c r="C1" s="7"/>
      <c r="D1" s="8"/>
      <c r="E1" s="8"/>
      <c r="F1" s="8"/>
      <c r="G1" s="8"/>
      <c r="H1" s="8"/>
      <c r="I1" s="8"/>
      <c r="J1" s="16"/>
    </row>
    <row r="2">
      <c r="A2" s="18"/>
      <c r="B2" s="207"/>
      <c r="C2" s="19" t="s">
        <v>84</v>
      </c>
      <c r="D2" s="10"/>
      <c r="E2" s="10"/>
      <c r="F2" s="10"/>
      <c r="G2" s="12"/>
      <c r="H2" s="161" t="s">
        <v>86</v>
      </c>
      <c r="I2" s="22"/>
      <c r="J2" s="24"/>
    </row>
    <row r="3">
      <c r="A3" s="18"/>
      <c r="B3" s="207"/>
      <c r="C3" s="25"/>
      <c r="G3" s="26"/>
      <c r="H3" s="27"/>
      <c r="I3" s="28"/>
      <c r="J3" s="18"/>
    </row>
    <row r="4">
      <c r="A4" s="18"/>
      <c r="B4" s="207"/>
      <c r="C4" s="29"/>
      <c r="D4" s="30"/>
      <c r="E4" s="30"/>
      <c r="F4" s="30"/>
      <c r="G4" s="32"/>
      <c r="H4" s="34"/>
      <c r="I4" s="35"/>
      <c r="J4" s="18"/>
    </row>
    <row r="5">
      <c r="A5" s="18"/>
      <c r="B5" s="58"/>
      <c r="C5" s="58"/>
      <c r="D5" s="58"/>
      <c r="E5" s="58"/>
      <c r="F5" s="58"/>
      <c r="G5" s="58"/>
      <c r="H5" s="58"/>
      <c r="I5" s="58"/>
      <c r="J5" s="18"/>
    </row>
    <row r="6">
      <c r="A6" s="18"/>
      <c r="B6" s="216"/>
      <c r="C6" s="216"/>
      <c r="D6" s="217"/>
      <c r="E6" s="217"/>
      <c r="F6" s="217"/>
      <c r="G6" s="96"/>
      <c r="H6" s="96"/>
      <c r="I6" s="96"/>
      <c r="J6" s="18"/>
    </row>
    <row r="7">
      <c r="A7" s="18"/>
      <c r="B7" s="233" t="s">
        <v>96</v>
      </c>
      <c r="C7" s="233" t="s">
        <v>99</v>
      </c>
      <c r="D7" s="235" t="s">
        <v>101</v>
      </c>
      <c r="E7" s="233" t="s">
        <v>104</v>
      </c>
      <c r="F7" s="235" t="s">
        <v>106</v>
      </c>
      <c r="G7" s="72"/>
      <c r="H7" s="239"/>
      <c r="I7" s="4"/>
      <c r="J7" s="18"/>
    </row>
    <row r="8" ht="19.5" customHeight="1">
      <c r="A8" s="18"/>
      <c r="B8" s="242"/>
      <c r="C8" s="242"/>
      <c r="D8" s="242"/>
      <c r="E8" s="242"/>
      <c r="F8" s="242"/>
      <c r="G8" s="72"/>
      <c r="H8" s="248"/>
      <c r="I8" s="251"/>
      <c r="J8" s="18"/>
    </row>
    <row r="9" ht="50.25" customHeight="1">
      <c r="A9" s="18"/>
      <c r="B9" s="256">
        <v>200.0</v>
      </c>
      <c r="C9" s="259">
        <v>180.0</v>
      </c>
      <c r="D9" s="263">
        <f>C9/B9</f>
        <v>0.9</v>
      </c>
      <c r="E9" s="259">
        <v>35.0</v>
      </c>
      <c r="F9" s="266">
        <f>E9/C9</f>
        <v>0.1944444444</v>
      </c>
      <c r="G9" s="268"/>
      <c r="H9" s="148"/>
      <c r="I9" s="148"/>
      <c r="J9" s="18"/>
    </row>
    <row r="10">
      <c r="A10" s="18"/>
      <c r="B10" s="271"/>
      <c r="F10" s="52"/>
      <c r="G10" s="96"/>
      <c r="H10" s="94"/>
      <c r="I10" s="104"/>
      <c r="J10" s="18"/>
    </row>
    <row r="11">
      <c r="A11" s="18"/>
      <c r="B11" s="96"/>
      <c r="C11" s="96"/>
      <c r="D11" s="275"/>
      <c r="E11" s="275"/>
      <c r="F11" s="275"/>
      <c r="G11" s="62"/>
      <c r="H11" s="96"/>
      <c r="I11" s="104"/>
      <c r="J11" s="18"/>
    </row>
    <row r="12">
      <c r="A12" s="18"/>
      <c r="B12" s="277" t="s">
        <v>119</v>
      </c>
      <c r="C12" s="30"/>
      <c r="D12" s="30"/>
      <c r="E12" s="30"/>
      <c r="F12" s="32"/>
      <c r="G12" s="94"/>
      <c r="H12" s="96"/>
      <c r="I12" s="144"/>
      <c r="J12" s="18"/>
    </row>
    <row r="13" ht="24.0" customHeight="1">
      <c r="A13" s="18"/>
      <c r="B13" s="142" t="s">
        <v>122</v>
      </c>
      <c r="F13" s="143"/>
      <c r="G13" s="94"/>
      <c r="H13" s="96"/>
      <c r="I13" s="104"/>
      <c r="J13" s="18"/>
    </row>
    <row r="14">
      <c r="A14" s="18"/>
      <c r="B14" s="85"/>
      <c r="F14" s="143"/>
      <c r="G14" s="94"/>
      <c r="H14" s="96"/>
      <c r="I14" s="104"/>
      <c r="J14" s="18"/>
    </row>
    <row r="15">
      <c r="A15" s="18"/>
      <c r="B15" s="85"/>
      <c r="F15" s="143"/>
      <c r="G15" s="94"/>
      <c r="H15" s="96"/>
      <c r="I15" s="104"/>
      <c r="J15" s="18"/>
    </row>
    <row r="16">
      <c r="A16" s="18"/>
      <c r="B16" s="278" t="s">
        <v>124</v>
      </c>
      <c r="F16" s="143"/>
      <c r="G16" s="94"/>
      <c r="H16" s="96"/>
      <c r="I16" s="104"/>
      <c r="J16" s="18"/>
    </row>
    <row r="17">
      <c r="A17" s="18"/>
      <c r="B17" s="85"/>
      <c r="F17" s="143"/>
      <c r="G17" s="94"/>
      <c r="H17" s="96"/>
      <c r="I17" s="104"/>
      <c r="J17" s="18"/>
    </row>
    <row r="18">
      <c r="A18" s="18"/>
      <c r="B18" s="117"/>
      <c r="C18" s="118"/>
      <c r="D18" s="118"/>
      <c r="E18" s="118"/>
      <c r="F18" s="146"/>
      <c r="G18" s="94"/>
      <c r="H18" s="96"/>
      <c r="I18" s="104"/>
      <c r="J18" s="18"/>
    </row>
    <row r="19">
      <c r="A19" s="18"/>
      <c r="B19" s="151"/>
      <c r="C19" s="151"/>
      <c r="D19" s="151"/>
      <c r="E19" s="151"/>
      <c r="F19" s="151"/>
      <c r="G19" s="96"/>
      <c r="H19" s="96"/>
      <c r="I19" s="104"/>
      <c r="J19" s="18"/>
    </row>
    <row r="20">
      <c r="A20" s="18"/>
      <c r="B20" s="153"/>
      <c r="C20" s="153"/>
      <c r="D20" s="153"/>
      <c r="E20" s="153"/>
      <c r="F20" s="153"/>
      <c r="G20" s="96"/>
      <c r="H20" s="96"/>
      <c r="I20" s="104"/>
      <c r="J20" s="18"/>
    </row>
    <row r="21">
      <c r="A21" s="148"/>
      <c r="B21" s="96"/>
      <c r="C21" s="96"/>
      <c r="D21" s="96"/>
      <c r="E21" s="96"/>
      <c r="F21" s="96"/>
      <c r="G21" s="96"/>
      <c r="H21" s="96"/>
      <c r="I21" s="104"/>
      <c r="J21" s="148"/>
    </row>
  </sheetData>
  <mergeCells count="17">
    <mergeCell ref="D7:D8"/>
    <mergeCell ref="E7:E8"/>
    <mergeCell ref="F7:F8"/>
    <mergeCell ref="H7:I7"/>
    <mergeCell ref="H8:H9"/>
    <mergeCell ref="I8:I9"/>
    <mergeCell ref="B10:F10"/>
    <mergeCell ref="B12:F12"/>
    <mergeCell ref="B13:F15"/>
    <mergeCell ref="B16:F18"/>
    <mergeCell ref="A1:A21"/>
    <mergeCell ref="C1:J1"/>
    <mergeCell ref="C2:G4"/>
    <mergeCell ref="H2:I4"/>
    <mergeCell ref="J2:J21"/>
    <mergeCell ref="B7:B8"/>
    <mergeCell ref="C7:C8"/>
  </mergeCells>
  <hyperlinks>
    <hyperlink r:id="rId1" ref="H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</cols>
  <sheetData>
    <row r="1" ht="15.0" customHeight="1">
      <c r="A1" s="287"/>
      <c r="B1" s="290"/>
      <c r="C1" s="290"/>
      <c r="D1" s="290"/>
      <c r="E1" s="290"/>
      <c r="F1" s="290"/>
      <c r="G1" s="290"/>
      <c r="H1" s="291"/>
      <c r="I1" s="293"/>
      <c r="J1" s="293"/>
      <c r="K1" s="293"/>
      <c r="L1" s="293"/>
      <c r="M1" s="294"/>
    </row>
    <row r="2" ht="31.5" customHeight="1">
      <c r="A2" s="296"/>
      <c r="B2" s="290"/>
      <c r="C2" s="290"/>
      <c r="D2" s="290"/>
      <c r="E2" s="290"/>
      <c r="F2" s="290"/>
      <c r="G2" s="290"/>
      <c r="H2" s="290"/>
      <c r="I2" s="293"/>
      <c r="J2" s="293"/>
      <c r="K2" s="293"/>
      <c r="L2" s="293"/>
      <c r="M2" s="298"/>
    </row>
    <row r="3">
      <c r="A3" s="300"/>
      <c r="B3" s="302" t="s">
        <v>134</v>
      </c>
      <c r="C3" s="10"/>
      <c r="D3" s="10"/>
      <c r="E3" s="10"/>
      <c r="F3" s="10"/>
      <c r="G3" s="10"/>
      <c r="H3" s="10"/>
      <c r="I3" s="10"/>
      <c r="J3" s="10"/>
      <c r="K3" s="10"/>
      <c r="L3" s="303"/>
      <c r="M3" s="304"/>
    </row>
    <row r="4">
      <c r="A4" s="300"/>
      <c r="B4" s="25"/>
      <c r="L4" s="52"/>
      <c r="M4" s="304"/>
    </row>
    <row r="5">
      <c r="A5" s="300"/>
      <c r="B5" s="305"/>
      <c r="C5" s="141"/>
      <c r="D5" s="141"/>
      <c r="E5" s="141"/>
      <c r="F5" s="141"/>
      <c r="G5" s="141"/>
      <c r="H5" s="141"/>
      <c r="I5" s="141"/>
      <c r="J5" s="141"/>
      <c r="K5" s="141"/>
      <c r="L5" s="131"/>
      <c r="M5" s="304"/>
    </row>
    <row r="6">
      <c r="A6" s="300"/>
      <c r="B6" s="306" t="s">
        <v>136</v>
      </c>
      <c r="L6" s="52"/>
      <c r="M6" s="304"/>
    </row>
    <row r="7">
      <c r="A7" s="300"/>
      <c r="B7" s="307"/>
      <c r="L7" s="52"/>
      <c r="M7" s="304"/>
    </row>
    <row r="8">
      <c r="A8" s="300"/>
      <c r="B8" s="307"/>
      <c r="L8" s="52"/>
      <c r="M8" s="304"/>
    </row>
    <row r="9">
      <c r="A9" s="300"/>
      <c r="B9" s="307"/>
      <c r="L9" s="52"/>
      <c r="M9" s="304"/>
    </row>
    <row r="10">
      <c r="A10" s="300"/>
      <c r="B10" s="307"/>
      <c r="L10" s="52"/>
      <c r="M10" s="304"/>
    </row>
    <row r="11">
      <c r="A11" s="300"/>
      <c r="B11" s="307"/>
      <c r="L11" s="52"/>
      <c r="M11" s="304"/>
    </row>
    <row r="12">
      <c r="A12" s="300"/>
      <c r="B12" s="307"/>
      <c r="L12" s="52"/>
      <c r="M12" s="304"/>
    </row>
    <row r="13">
      <c r="A13" s="300"/>
      <c r="B13" s="307"/>
      <c r="L13" s="52"/>
      <c r="M13" s="304"/>
    </row>
    <row r="14">
      <c r="A14" s="300"/>
      <c r="B14" s="307"/>
      <c r="L14" s="52"/>
      <c r="M14" s="304"/>
    </row>
    <row r="15">
      <c r="A15" s="300"/>
      <c r="B15" s="307"/>
      <c r="L15" s="52"/>
      <c r="M15" s="304"/>
    </row>
    <row r="16">
      <c r="A16" s="300"/>
      <c r="B16" s="308"/>
      <c r="C16" s="141"/>
      <c r="D16" s="141"/>
      <c r="E16" s="141"/>
      <c r="F16" s="141"/>
      <c r="G16" s="141"/>
      <c r="H16" s="141"/>
      <c r="I16" s="141"/>
      <c r="J16" s="141"/>
      <c r="K16" s="141"/>
      <c r="L16" s="131"/>
      <c r="M16" s="304"/>
    </row>
    <row r="17" ht="18.75" customHeight="1">
      <c r="A17" s="300"/>
      <c r="B17" s="310" t="s">
        <v>138</v>
      </c>
      <c r="C17" s="311"/>
      <c r="D17" s="311"/>
      <c r="E17" s="311"/>
      <c r="F17" s="311"/>
      <c r="G17" s="311"/>
      <c r="H17" s="311"/>
      <c r="I17" s="311"/>
      <c r="J17" s="311"/>
      <c r="K17" s="311"/>
      <c r="L17" s="312"/>
      <c r="M17" s="304"/>
    </row>
    <row r="18" ht="16.5" customHeight="1">
      <c r="A18" s="300"/>
      <c r="B18" s="27"/>
      <c r="L18" s="313"/>
      <c r="M18" s="304"/>
    </row>
    <row r="19">
      <c r="A19" s="300"/>
      <c r="B19" s="314"/>
      <c r="C19" s="125"/>
      <c r="D19" s="125"/>
      <c r="E19" s="125"/>
      <c r="F19" s="125"/>
      <c r="G19" s="125"/>
      <c r="H19" s="125"/>
      <c r="I19" s="125"/>
      <c r="J19" s="125"/>
      <c r="K19" s="125"/>
      <c r="L19" s="127"/>
      <c r="M19" s="315"/>
    </row>
    <row r="20">
      <c r="A20" s="296"/>
      <c r="B20" s="316"/>
      <c r="C20" s="317"/>
      <c r="D20" s="317"/>
      <c r="E20" s="317"/>
      <c r="F20" s="317"/>
      <c r="G20" s="317"/>
      <c r="H20" s="317"/>
      <c r="I20" s="318"/>
      <c r="J20" s="318"/>
      <c r="K20" s="318"/>
      <c r="L20" s="318"/>
      <c r="M20" s="315"/>
    </row>
    <row r="21">
      <c r="A21" s="296"/>
      <c r="B21" s="319"/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15"/>
    </row>
    <row r="22">
      <c r="A22" s="296"/>
      <c r="B22" s="321" t="s">
        <v>139</v>
      </c>
      <c r="C22" s="322"/>
      <c r="D22" s="322"/>
      <c r="E22" s="322"/>
      <c r="F22" s="322"/>
      <c r="G22" s="322"/>
      <c r="H22" s="322"/>
      <c r="I22" s="322"/>
      <c r="J22" s="322"/>
      <c r="K22" s="322"/>
      <c r="L22" s="323"/>
      <c r="M22" s="304"/>
    </row>
    <row r="23">
      <c r="A23" s="296"/>
      <c r="L23" s="324"/>
      <c r="M23" s="304"/>
    </row>
    <row r="24">
      <c r="A24" s="296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6"/>
      <c r="M24" s="304"/>
    </row>
    <row r="25" ht="21.0" customHeight="1">
      <c r="A25" s="296"/>
      <c r="B25" s="327"/>
      <c r="C25" s="8"/>
      <c r="D25" s="8"/>
      <c r="E25" s="8"/>
      <c r="F25" s="16"/>
      <c r="H25" s="328"/>
      <c r="I25" s="8"/>
      <c r="J25" s="8"/>
      <c r="K25" s="8"/>
      <c r="L25" s="16"/>
      <c r="M25" s="304"/>
    </row>
    <row r="26" ht="21.0" customHeight="1">
      <c r="A26" s="296"/>
      <c r="B26" s="23"/>
      <c r="F26" s="52"/>
      <c r="H26" s="23"/>
      <c r="L26" s="52"/>
      <c r="M26" s="304"/>
    </row>
    <row r="27" ht="21.0" customHeight="1">
      <c r="A27" s="296"/>
      <c r="B27" s="23"/>
      <c r="F27" s="52"/>
      <c r="H27" s="23"/>
      <c r="L27" s="52"/>
      <c r="M27" s="304"/>
    </row>
    <row r="28" ht="21.0" customHeight="1">
      <c r="A28" s="296"/>
      <c r="B28" s="23"/>
      <c r="F28" s="52"/>
      <c r="H28" s="23"/>
      <c r="L28" s="52"/>
      <c r="M28" s="304"/>
    </row>
    <row r="29" ht="21.0" customHeight="1">
      <c r="A29" s="296"/>
      <c r="B29" s="23"/>
      <c r="F29" s="52"/>
      <c r="H29" s="23"/>
      <c r="L29" s="52"/>
      <c r="M29" s="304"/>
    </row>
    <row r="30" ht="21.0" customHeight="1">
      <c r="A30" s="296"/>
      <c r="B30" s="23"/>
      <c r="F30" s="52"/>
      <c r="H30" s="23"/>
      <c r="L30" s="52"/>
      <c r="M30" s="304"/>
    </row>
    <row r="31" ht="21.0" customHeight="1">
      <c r="A31" s="296"/>
      <c r="B31" s="23"/>
      <c r="F31" s="52"/>
      <c r="H31" s="23"/>
      <c r="L31" s="52"/>
      <c r="M31" s="304"/>
    </row>
    <row r="32">
      <c r="A32" s="296"/>
      <c r="B32" s="23"/>
      <c r="F32" s="52"/>
      <c r="G32" s="329"/>
      <c r="H32" s="23"/>
      <c r="L32" s="52"/>
      <c r="M32" s="304"/>
    </row>
    <row r="33">
      <c r="A33" s="296"/>
      <c r="B33" s="23"/>
      <c r="F33" s="52"/>
      <c r="G33" s="329"/>
      <c r="H33" s="23"/>
      <c r="L33" s="52"/>
      <c r="M33" s="304"/>
    </row>
    <row r="34">
      <c r="A34" s="296"/>
      <c r="B34" s="23"/>
      <c r="F34" s="52"/>
      <c r="G34" s="329"/>
      <c r="H34" s="23"/>
      <c r="L34" s="52"/>
      <c r="M34" s="304"/>
    </row>
    <row r="35">
      <c r="A35" s="296"/>
      <c r="B35" s="134"/>
      <c r="C35" s="141"/>
      <c r="D35" s="141"/>
      <c r="E35" s="141"/>
      <c r="F35" s="131"/>
      <c r="G35" s="329"/>
      <c r="H35" s="134"/>
      <c r="I35" s="141"/>
      <c r="J35" s="141"/>
      <c r="K35" s="141"/>
      <c r="L35" s="131"/>
      <c r="M35" s="304"/>
    </row>
    <row r="36">
      <c r="A36" s="296"/>
      <c r="B36" s="330" t="s">
        <v>140</v>
      </c>
      <c r="F36" s="313"/>
      <c r="G36" s="315"/>
      <c r="H36" s="331" t="s">
        <v>141</v>
      </c>
      <c r="L36" s="313"/>
      <c r="M36" s="315"/>
    </row>
    <row r="37">
      <c r="A37" s="296"/>
      <c r="F37" s="313"/>
      <c r="G37" s="315"/>
      <c r="H37" s="332"/>
      <c r="L37" s="313"/>
      <c r="M37" s="315"/>
    </row>
    <row r="38">
      <c r="A38" s="296"/>
      <c r="B38" s="125"/>
      <c r="C38" s="125"/>
      <c r="D38" s="125"/>
      <c r="E38" s="125"/>
      <c r="F38" s="127"/>
      <c r="G38" s="315"/>
      <c r="H38" s="333"/>
      <c r="I38" s="125"/>
      <c r="J38" s="125"/>
      <c r="K38" s="125"/>
      <c r="L38" s="127"/>
      <c r="M38" s="315"/>
    </row>
  </sheetData>
  <mergeCells count="9">
    <mergeCell ref="H25:L35"/>
    <mergeCell ref="H36:L38"/>
    <mergeCell ref="B3:L5"/>
    <mergeCell ref="B6:L16"/>
    <mergeCell ref="B17:L19"/>
    <mergeCell ref="B22:L24"/>
    <mergeCell ref="B25:F35"/>
    <mergeCell ref="G25:G31"/>
    <mergeCell ref="B36:F38"/>
  </mergeCells>
  <hyperlinks>
    <hyperlink r:id="rId1" ref="B17"/>
    <hyperlink r:id="rId2" ref="B36"/>
    <hyperlink r:id="rId3" ref="H36"/>
  </hyperlinks>
  <drawing r:id="rId4"/>
</worksheet>
</file>