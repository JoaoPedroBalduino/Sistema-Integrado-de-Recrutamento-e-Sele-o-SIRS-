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0E05FDBD-A2CA-4E62-8DEE-5E04C5F51333}" xr6:coauthVersionLast="47" xr6:coauthVersionMax="47" xr10:uidLastSave="{00000000-0000-0000-0000-000000000000}"/>
  <bookViews>
    <workbookView xWindow="-110" yWindow="-110" windowWidth="19420" windowHeight="10300" tabRatio="647" xr2:uid="{00000000-000D-0000-FFFF-FFFF00000000}"/>
  </bookViews>
  <sheets>
    <sheet name="Instruções" sheetId="1" r:id="rId1"/>
    <sheet name="Base de dados" sheetId="6" r:id="rId2"/>
    <sheet name="Visão geral" sheetId="2" r:id="rId3"/>
    <sheet name="Indicadores" sheetId="14" r:id="rId4"/>
    <sheet name="Materiais relevante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4" l="1"/>
  <c r="J7" i="14"/>
  <c r="J8" i="14"/>
  <c r="J9" i="14"/>
  <c r="J10" i="14"/>
  <c r="J11" i="14"/>
  <c r="J12" i="14"/>
  <c r="J13" i="14"/>
  <c r="J14" i="14"/>
  <c r="J5" i="14"/>
  <c r="H5" i="14" a="1"/>
  <c r="H5" i="14" s="1"/>
  <c r="H6" i="14" s="1" a="1"/>
  <c r="H6" i="14" s="1"/>
  <c r="B5" i="14" a="1"/>
  <c r="B5" i="14" s="1"/>
  <c r="C5" i="14" s="1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6" i="2"/>
  <c r="N5" i="2"/>
  <c r="H7" i="14" l="1" a="1"/>
  <c r="H7" i="14" s="1"/>
  <c r="I5" i="14"/>
  <c r="F5" i="14"/>
  <c r="E5" i="14"/>
  <c r="D5" i="14"/>
  <c r="B6" i="14" a="1"/>
  <c r="B6" i="14" s="1"/>
  <c r="H8" i="14" l="1" a="1"/>
  <c r="H8" i="14" s="1"/>
  <c r="K5" i="14"/>
  <c r="I6" i="14"/>
  <c r="K6" i="14" s="1"/>
  <c r="I7" i="14"/>
  <c r="E6" i="14"/>
  <c r="F6" i="14"/>
  <c r="C6" i="14"/>
  <c r="D6" i="14"/>
  <c r="B7" i="14" a="1"/>
  <c r="B7" i="14" s="1"/>
  <c r="H9" i="14" l="1" a="1"/>
  <c r="H9" i="14" s="1"/>
  <c r="C7" i="14"/>
  <c r="K7" i="14"/>
  <c r="I8" i="14"/>
  <c r="E7" i="14"/>
  <c r="F7" i="14"/>
  <c r="B8" i="14" a="1"/>
  <c r="B8" i="14" s="1"/>
  <c r="D7" i="14"/>
  <c r="H10" i="14" l="1" a="1"/>
  <c r="H10" i="14" s="1"/>
  <c r="C8" i="14"/>
  <c r="K8" i="14"/>
  <c r="I9" i="14"/>
  <c r="F8" i="14"/>
  <c r="D8" i="14"/>
  <c r="E8" i="14"/>
  <c r="B9" i="14" a="1"/>
  <c r="B9" i="14" s="1"/>
  <c r="H11" i="14" l="1" a="1"/>
  <c r="H11" i="14" s="1"/>
  <c r="H12" i="14" s="1" a="1"/>
  <c r="H12" i="14" s="1"/>
  <c r="H13" i="14" s="1" a="1"/>
  <c r="H13" i="14" s="1"/>
  <c r="H14" i="14" s="1" a="1"/>
  <c r="H14" i="14" s="1"/>
  <c r="C9" i="14"/>
  <c r="K9" i="14"/>
  <c r="I10" i="14"/>
  <c r="F9" i="14"/>
  <c r="D9" i="14"/>
  <c r="E9" i="14"/>
  <c r="B10" i="14" a="1"/>
  <c r="B10" i="14" s="1"/>
  <c r="C10" i="14" l="1"/>
  <c r="K10" i="14"/>
  <c r="E10" i="14"/>
  <c r="F10" i="14"/>
  <c r="D10" i="14"/>
  <c r="B11" i="14" a="1"/>
  <c r="B11" i="14" s="1"/>
  <c r="C11" i="14" l="1"/>
  <c r="K11" i="14"/>
  <c r="E11" i="14"/>
  <c r="F11" i="14"/>
  <c r="D11" i="14"/>
  <c r="B12" i="14" a="1"/>
  <c r="B12" i="14" s="1"/>
  <c r="C12" i="14" l="1"/>
  <c r="K12" i="14"/>
  <c r="E12" i="14"/>
  <c r="F12" i="14"/>
  <c r="D12" i="14"/>
  <c r="B13" i="14" a="1"/>
  <c r="B13" i="14" s="1"/>
  <c r="C13" i="14" l="1"/>
  <c r="K13" i="14"/>
  <c r="D13" i="14"/>
  <c r="E13" i="14"/>
  <c r="F13" i="14"/>
  <c r="B14" i="14" a="1"/>
  <c r="B14" i="14" s="1"/>
  <c r="C14" i="14" l="1"/>
  <c r="K14" i="14"/>
  <c r="D14" i="14"/>
  <c r="E14" i="14"/>
  <c r="F14" i="14"/>
  <c r="B15" i="14" a="1"/>
  <c r="B15" i="14" s="1"/>
  <c r="C15" i="14" s="1"/>
  <c r="D15" i="14" l="1"/>
  <c r="E15" i="14"/>
  <c r="F15" i="14"/>
  <c r="B16" i="14" a="1"/>
  <c r="B16" i="14" s="1"/>
  <c r="C16" i="14" s="1"/>
  <c r="B17" i="14" l="1" a="1"/>
  <c r="B17" i="14" s="1"/>
  <c r="D16" i="14"/>
  <c r="E16" i="14"/>
  <c r="F16" i="14"/>
  <c r="B18" i="14" l="1" a="1"/>
  <c r="B18" i="14" s="1"/>
  <c r="C17" i="14"/>
  <c r="B19" i="14" l="1" a="1"/>
  <c r="B19" i="14" s="1"/>
  <c r="C18" i="14"/>
  <c r="B20" i="14" l="1" a="1"/>
  <c r="B20" i="14" s="1"/>
  <c r="C19" i="14"/>
  <c r="B21" i="14" l="1" a="1"/>
  <c r="B21" i="14" s="1"/>
  <c r="C20" i="14"/>
  <c r="B22" i="14" l="1" a="1"/>
  <c r="B22" i="14" s="1"/>
  <c r="C21" i="14"/>
  <c r="B23" i="14" l="1" a="1"/>
  <c r="B23" i="14" s="1"/>
  <c r="C22" i="14"/>
  <c r="B24" i="14" l="1" a="1"/>
  <c r="B24" i="14" s="1"/>
  <c r="C23" i="14"/>
  <c r="B25" i="14" l="1" a="1"/>
  <c r="B25" i="14" s="1"/>
  <c r="C24" i="14"/>
  <c r="B26" i="14" l="1" a="1"/>
  <c r="B26" i="14" s="1"/>
  <c r="C25" i="14"/>
  <c r="B27" i="14" l="1" a="1"/>
  <c r="B27" i="14" s="1"/>
  <c r="C26" i="14"/>
  <c r="B28" i="14" l="1" a="1"/>
  <c r="B28" i="14" s="1"/>
  <c r="C27" i="14"/>
  <c r="B29" i="14" l="1" a="1"/>
  <c r="B29" i="14" s="1"/>
  <c r="C28" i="14"/>
  <c r="B30" i="14" l="1" a="1"/>
  <c r="B30" i="14" s="1"/>
  <c r="C29" i="14"/>
  <c r="B31" i="14" l="1" a="1"/>
  <c r="B31" i="14" s="1"/>
  <c r="C30" i="14"/>
  <c r="B32" i="14" l="1" a="1"/>
  <c r="B32" i="14" s="1"/>
  <c r="C31" i="14"/>
  <c r="B33" i="14" l="1" a="1"/>
  <c r="B33" i="14" s="1"/>
  <c r="C32" i="14"/>
  <c r="B34" i="14" l="1" a="1"/>
  <c r="B34" i="14" s="1"/>
  <c r="C33" i="14"/>
  <c r="B35" i="14" l="1" a="1"/>
  <c r="B35" i="14" s="1"/>
  <c r="C34" i="14"/>
  <c r="B36" i="14" l="1" a="1"/>
  <c r="B36" i="14" s="1"/>
  <c r="C35" i="14"/>
  <c r="B37" i="14" l="1" a="1"/>
  <c r="B37" i="14" s="1"/>
  <c r="C36" i="14"/>
  <c r="B38" i="14" l="1" a="1"/>
  <c r="B38" i="14" s="1"/>
  <c r="C37" i="14"/>
  <c r="B39" i="14" l="1" a="1"/>
  <c r="B39" i="14" s="1"/>
  <c r="C38" i="14"/>
  <c r="B40" i="14" l="1" a="1"/>
  <c r="B40" i="14" s="1"/>
  <c r="C39" i="14"/>
  <c r="B41" i="14" l="1" a="1"/>
  <c r="B41" i="14" s="1"/>
  <c r="C40" i="14"/>
  <c r="B42" i="14" l="1" a="1"/>
  <c r="B42" i="14" s="1"/>
  <c r="C41" i="14"/>
  <c r="B43" i="14" l="1" a="1"/>
  <c r="B43" i="14" s="1"/>
  <c r="C42" i="14"/>
  <c r="B44" i="14" l="1" a="1"/>
  <c r="B44" i="14" s="1"/>
  <c r="C43" i="14"/>
  <c r="B45" i="14" l="1" a="1"/>
  <c r="B45" i="14" s="1"/>
  <c r="C44" i="14"/>
  <c r="B46" i="14" l="1" a="1"/>
  <c r="B46" i="14" s="1"/>
  <c r="C45" i="14"/>
  <c r="B47" i="14" l="1" a="1"/>
  <c r="B47" i="14" s="1"/>
  <c r="C46" i="14"/>
  <c r="B48" i="14" l="1" a="1"/>
  <c r="B48" i="14" s="1"/>
  <c r="C47" i="14"/>
  <c r="B49" i="14" l="1" a="1"/>
  <c r="B49" i="14" s="1"/>
  <c r="C48" i="14"/>
  <c r="B50" i="14" l="1" a="1"/>
  <c r="B50" i="14" s="1"/>
  <c r="C49" i="14"/>
  <c r="B51" i="14" l="1" a="1"/>
  <c r="B51" i="14" s="1"/>
  <c r="C50" i="14"/>
  <c r="B52" i="14" l="1" a="1"/>
  <c r="B52" i="14" s="1"/>
  <c r="C51" i="14"/>
  <c r="B53" i="14" l="1" a="1"/>
  <c r="B53" i="14" s="1"/>
  <c r="C52" i="14"/>
  <c r="B54" i="14" l="1" a="1"/>
  <c r="B54" i="14" s="1"/>
  <c r="C53" i="14"/>
  <c r="B55" i="14" l="1" a="1"/>
  <c r="B55" i="14" s="1"/>
  <c r="C54" i="14"/>
  <c r="B56" i="14" l="1" a="1"/>
  <c r="B56" i="14" s="1"/>
  <c r="C55" i="14"/>
  <c r="B57" i="14" l="1" a="1"/>
  <c r="B57" i="14" s="1"/>
  <c r="C56" i="14"/>
  <c r="B58" i="14" l="1" a="1"/>
  <c r="B58" i="14" s="1"/>
  <c r="C57" i="14"/>
  <c r="B59" i="14" l="1" a="1"/>
  <c r="B59" i="14" s="1"/>
  <c r="C58" i="14"/>
  <c r="B60" i="14" l="1" a="1"/>
  <c r="B60" i="14" s="1"/>
  <c r="C59" i="14"/>
  <c r="B61" i="14" l="1" a="1"/>
  <c r="B61" i="14" s="1"/>
  <c r="C60" i="14"/>
  <c r="B62" i="14" l="1" a="1"/>
  <c r="B62" i="14" s="1"/>
  <c r="C61" i="14"/>
  <c r="B63" i="14" l="1" a="1"/>
  <c r="B63" i="14" s="1"/>
  <c r="C62" i="14"/>
  <c r="B64" i="14" l="1" a="1"/>
  <c r="B64" i="14" s="1"/>
  <c r="C63" i="14"/>
  <c r="B65" i="14" l="1" a="1"/>
  <c r="B65" i="14" s="1"/>
  <c r="C64" i="14"/>
  <c r="B66" i="14" l="1" a="1"/>
  <c r="B66" i="14" s="1"/>
  <c r="C65" i="14"/>
  <c r="B67" i="14" l="1" a="1"/>
  <c r="B67" i="14" s="1"/>
  <c r="C66" i="14"/>
  <c r="B68" i="14" l="1" a="1"/>
  <c r="B68" i="14" s="1"/>
  <c r="C67" i="14"/>
  <c r="B69" i="14" l="1" a="1"/>
  <c r="B69" i="14" s="1"/>
  <c r="C68" i="14"/>
  <c r="B70" i="14" l="1" a="1"/>
  <c r="B70" i="14" s="1"/>
  <c r="C69" i="14"/>
  <c r="B71" i="14" l="1" a="1"/>
  <c r="B71" i="14" s="1"/>
  <c r="C70" i="14"/>
  <c r="B72" i="14" l="1" a="1"/>
  <c r="B72" i="14" s="1"/>
  <c r="C71" i="14"/>
  <c r="B73" i="14" l="1" a="1"/>
  <c r="B73" i="14" s="1"/>
  <c r="C72" i="14"/>
  <c r="B74" i="14" l="1" a="1"/>
  <c r="B74" i="14" s="1"/>
  <c r="C73" i="14"/>
  <c r="B75" i="14" l="1" a="1"/>
  <c r="B75" i="14" s="1"/>
  <c r="C74" i="14"/>
  <c r="B76" i="14" l="1" a="1"/>
  <c r="B76" i="14" s="1"/>
  <c r="C75" i="14"/>
  <c r="B77" i="14" l="1" a="1"/>
  <c r="B77" i="14" s="1"/>
  <c r="C76" i="14"/>
  <c r="B78" i="14" l="1" a="1"/>
  <c r="B78" i="14" s="1"/>
  <c r="C77" i="14"/>
  <c r="B79" i="14" l="1" a="1"/>
  <c r="B79" i="14" s="1"/>
  <c r="C78" i="14"/>
  <c r="B80" i="14" l="1" a="1"/>
  <c r="B80" i="14" s="1"/>
  <c r="C79" i="14"/>
  <c r="B81" i="14" l="1" a="1"/>
  <c r="B81" i="14" s="1"/>
  <c r="C80" i="14"/>
  <c r="B82" i="14" l="1" a="1"/>
  <c r="B82" i="14" s="1"/>
  <c r="C81" i="14"/>
  <c r="B83" i="14" l="1" a="1"/>
  <c r="B83" i="14" s="1"/>
  <c r="C82" i="14"/>
  <c r="B84" i="14" l="1" a="1"/>
  <c r="B84" i="14" s="1"/>
  <c r="C83" i="14"/>
  <c r="B85" i="14" l="1" a="1"/>
  <c r="B85" i="14" s="1"/>
  <c r="C84" i="14"/>
  <c r="B86" i="14" l="1" a="1"/>
  <c r="B86" i="14" s="1"/>
  <c r="C85" i="14"/>
  <c r="B87" i="14" l="1" a="1"/>
  <c r="B87" i="14" s="1"/>
  <c r="C86" i="14"/>
  <c r="B88" i="14" l="1" a="1"/>
  <c r="B88" i="14" s="1"/>
  <c r="C87" i="14"/>
  <c r="B89" i="14" l="1" a="1"/>
  <c r="B89" i="14" s="1"/>
  <c r="C88" i="14"/>
  <c r="B90" i="14" l="1" a="1"/>
  <c r="B90" i="14" s="1"/>
  <c r="C89" i="14"/>
  <c r="B91" i="14" l="1" a="1"/>
  <c r="B91" i="14" s="1"/>
  <c r="C90" i="14"/>
  <c r="B92" i="14" l="1" a="1"/>
  <c r="B92" i="14" s="1"/>
  <c r="C91" i="14"/>
  <c r="B93" i="14" l="1" a="1"/>
  <c r="B93" i="14" s="1"/>
  <c r="C92" i="14"/>
  <c r="B94" i="14" l="1" a="1"/>
  <c r="B94" i="14" s="1"/>
  <c r="C93" i="14"/>
  <c r="B95" i="14" l="1" a="1"/>
  <c r="B95" i="14" s="1"/>
  <c r="C94" i="14"/>
  <c r="B96" i="14" l="1" a="1"/>
  <c r="B96" i="14" s="1"/>
  <c r="C95" i="14"/>
  <c r="B97" i="14" l="1" a="1"/>
  <c r="B97" i="14" s="1"/>
  <c r="C96" i="14"/>
  <c r="B98" i="14" l="1" a="1"/>
  <c r="B98" i="14" s="1"/>
  <c r="C97" i="14"/>
  <c r="B99" i="14" l="1" a="1"/>
  <c r="B99" i="14" s="1"/>
  <c r="C98" i="14"/>
  <c r="B100" i="14" l="1" a="1"/>
  <c r="B100" i="14" s="1"/>
  <c r="C99" i="14"/>
  <c r="B101" i="14" l="1" a="1"/>
  <c r="B101" i="14" s="1"/>
  <c r="C100" i="14"/>
  <c r="B102" i="14" l="1" a="1"/>
  <c r="B102" i="14" s="1"/>
  <c r="C101" i="14"/>
  <c r="B103" i="14" l="1" a="1"/>
  <c r="B103" i="14" s="1"/>
  <c r="C102" i="14"/>
  <c r="B104" i="14" l="1" a="1"/>
  <c r="B104" i="14" s="1"/>
  <c r="C103" i="14"/>
  <c r="B105" i="14" l="1" a="1"/>
  <c r="B105" i="14" s="1"/>
  <c r="C104" i="14"/>
  <c r="B106" i="14" l="1" a="1"/>
  <c r="B106" i="14" s="1"/>
  <c r="C105" i="14"/>
  <c r="B107" i="14" l="1" a="1"/>
  <c r="B107" i="14" s="1"/>
  <c r="C106" i="14"/>
  <c r="B108" i="14" l="1" a="1"/>
  <c r="B108" i="14" s="1"/>
  <c r="C107" i="14"/>
  <c r="B109" i="14" l="1" a="1"/>
  <c r="B109" i="14" s="1"/>
  <c r="C108" i="14"/>
  <c r="B110" i="14" l="1" a="1"/>
  <c r="B110" i="14" s="1"/>
  <c r="C109" i="14"/>
  <c r="B111" i="14" l="1" a="1"/>
  <c r="B111" i="14" s="1"/>
  <c r="C110" i="14"/>
  <c r="B112" i="14" l="1" a="1"/>
  <c r="B112" i="14" s="1"/>
  <c r="C111" i="14"/>
  <c r="B113" i="14" l="1" a="1"/>
  <c r="B113" i="14" s="1"/>
  <c r="C112" i="14"/>
  <c r="B114" i="14" l="1" a="1"/>
  <c r="B114" i="14" s="1"/>
  <c r="C113" i="14"/>
  <c r="B115" i="14" l="1" a="1"/>
  <c r="B115" i="14" s="1"/>
  <c r="C114" i="14"/>
  <c r="B116" i="14" l="1" a="1"/>
  <c r="B116" i="14" s="1"/>
  <c r="C115" i="14"/>
  <c r="B117" i="14" l="1" a="1"/>
  <c r="B117" i="14" s="1"/>
  <c r="C116" i="14"/>
  <c r="B118" i="14" l="1" a="1"/>
  <c r="B118" i="14" s="1"/>
  <c r="C117" i="14"/>
  <c r="B119" i="14" l="1" a="1"/>
  <c r="B119" i="14" s="1"/>
  <c r="C118" i="14"/>
  <c r="B120" i="14" l="1" a="1"/>
  <c r="B120" i="14" s="1"/>
  <c r="C119" i="14"/>
  <c r="B121" i="14" l="1" a="1"/>
  <c r="B121" i="14" s="1"/>
  <c r="C120" i="14"/>
  <c r="B122" i="14" l="1" a="1"/>
  <c r="B122" i="14" s="1"/>
  <c r="C121" i="14"/>
  <c r="B123" i="14" l="1" a="1"/>
  <c r="B123" i="14" s="1"/>
  <c r="C122" i="14"/>
  <c r="B124" i="14" l="1" a="1"/>
  <c r="B124" i="14" s="1"/>
  <c r="C123" i="14"/>
  <c r="B125" i="14" l="1" a="1"/>
  <c r="B125" i="14" s="1"/>
  <c r="C124" i="14"/>
  <c r="B126" i="14" l="1" a="1"/>
  <c r="B126" i="14" s="1"/>
  <c r="C125" i="14"/>
  <c r="B127" i="14" l="1" a="1"/>
  <c r="B127" i="14" s="1"/>
  <c r="C126" i="14"/>
  <c r="B128" i="14" l="1" a="1"/>
  <c r="B128" i="14" s="1"/>
  <c r="C127" i="14"/>
  <c r="B129" i="14" l="1" a="1"/>
  <c r="B129" i="14" s="1"/>
  <c r="C128" i="14"/>
  <c r="B130" i="14" l="1" a="1"/>
  <c r="B130" i="14" s="1"/>
  <c r="C129" i="14"/>
  <c r="B131" i="14" l="1" a="1"/>
  <c r="B131" i="14" s="1"/>
  <c r="C130" i="14"/>
  <c r="B132" i="14" l="1" a="1"/>
  <c r="B132" i="14" s="1"/>
  <c r="C131" i="14"/>
  <c r="B133" i="14" l="1" a="1"/>
  <c r="B133" i="14" s="1"/>
  <c r="C132" i="14"/>
  <c r="B134" i="14" l="1" a="1"/>
  <c r="B134" i="14" s="1"/>
  <c r="C133" i="14"/>
  <c r="B135" i="14" l="1" a="1"/>
  <c r="B135" i="14" s="1"/>
  <c r="C134" i="14"/>
  <c r="B136" i="14" l="1" a="1"/>
  <c r="B136" i="14" s="1"/>
  <c r="C135" i="14"/>
  <c r="B137" i="14" l="1" a="1"/>
  <c r="B137" i="14" s="1"/>
  <c r="C136" i="14"/>
  <c r="B138" i="14" l="1" a="1"/>
  <c r="B138" i="14" s="1"/>
  <c r="C137" i="14"/>
  <c r="B139" i="14" l="1" a="1"/>
  <c r="B139" i="14" s="1"/>
  <c r="C138" i="14"/>
  <c r="B140" i="14" l="1" a="1"/>
  <c r="B140" i="14" s="1"/>
  <c r="C139" i="14"/>
  <c r="B141" i="14" l="1" a="1"/>
  <c r="B141" i="14" s="1"/>
  <c r="C140" i="14"/>
  <c r="B142" i="14" l="1" a="1"/>
  <c r="B142" i="14" s="1"/>
  <c r="C141" i="14"/>
  <c r="B143" i="14" l="1" a="1"/>
  <c r="B143" i="14" s="1"/>
  <c r="C142" i="14"/>
  <c r="B144" i="14" l="1" a="1"/>
  <c r="B144" i="14" s="1"/>
  <c r="C143" i="14"/>
  <c r="B145" i="14" l="1" a="1"/>
  <c r="B145" i="14" s="1"/>
  <c r="C144" i="14"/>
  <c r="B146" i="14" l="1" a="1"/>
  <c r="B146" i="14" s="1"/>
  <c r="C145" i="14"/>
  <c r="B147" i="14" l="1" a="1"/>
  <c r="B147" i="14" s="1"/>
  <c r="C146" i="14"/>
  <c r="B148" i="14" l="1" a="1"/>
  <c r="B148" i="14" s="1"/>
  <c r="C147" i="14"/>
  <c r="B149" i="14" l="1" a="1"/>
  <c r="B149" i="14" s="1"/>
  <c r="C148" i="14"/>
  <c r="B150" i="14" l="1" a="1"/>
  <c r="B150" i="14" s="1"/>
  <c r="C149" i="14"/>
  <c r="B151" i="14" l="1" a="1"/>
  <c r="B151" i="14" s="1"/>
  <c r="C150" i="14"/>
  <c r="B152" i="14" l="1" a="1"/>
  <c r="B152" i="14" s="1"/>
  <c r="C151" i="14"/>
  <c r="B153" i="14" l="1" a="1"/>
  <c r="B153" i="14" s="1"/>
  <c r="C152" i="14"/>
  <c r="B154" i="14" l="1" a="1"/>
  <c r="B154" i="14" s="1"/>
  <c r="C153" i="14"/>
  <c r="B155" i="14" l="1" a="1"/>
  <c r="B155" i="14" s="1"/>
  <c r="C154" i="14"/>
  <c r="B156" i="14" l="1" a="1"/>
  <c r="B156" i="14" s="1"/>
  <c r="C155" i="14"/>
  <c r="B157" i="14" l="1" a="1"/>
  <c r="B157" i="14" s="1"/>
  <c r="C156" i="14"/>
  <c r="B158" i="14" l="1" a="1"/>
  <c r="B158" i="14" s="1"/>
  <c r="C157" i="14"/>
  <c r="B159" i="14" l="1" a="1"/>
  <c r="B159" i="14" s="1"/>
  <c r="C158" i="14"/>
  <c r="B160" i="14" l="1" a="1"/>
  <c r="B160" i="14" s="1"/>
  <c r="C159" i="14"/>
  <c r="B161" i="14" l="1" a="1"/>
  <c r="B161" i="14" s="1"/>
  <c r="C160" i="14"/>
  <c r="B162" i="14" l="1" a="1"/>
  <c r="B162" i="14" s="1"/>
  <c r="C161" i="14"/>
  <c r="B163" i="14" l="1" a="1"/>
  <c r="B163" i="14" s="1"/>
  <c r="C162" i="14"/>
  <c r="B164" i="14" l="1" a="1"/>
  <c r="B164" i="14" s="1"/>
  <c r="C163" i="14"/>
  <c r="B165" i="14" l="1" a="1"/>
  <c r="B165" i="14" s="1"/>
  <c r="C164" i="14"/>
  <c r="B166" i="14" l="1" a="1"/>
  <c r="B166" i="14" s="1"/>
  <c r="C165" i="14"/>
  <c r="B167" i="14" l="1" a="1"/>
  <c r="B167" i="14" s="1"/>
  <c r="C166" i="14"/>
  <c r="B168" i="14" l="1" a="1"/>
  <c r="B168" i="14" s="1"/>
  <c r="C167" i="14"/>
  <c r="B169" i="14" l="1" a="1"/>
  <c r="B169" i="14" s="1"/>
  <c r="C168" i="14"/>
  <c r="B170" i="14" l="1" a="1"/>
  <c r="B170" i="14" s="1"/>
  <c r="C169" i="14"/>
  <c r="B171" i="14" l="1" a="1"/>
  <c r="B171" i="14" s="1"/>
  <c r="C170" i="14"/>
  <c r="B172" i="14" l="1" a="1"/>
  <c r="B172" i="14" s="1"/>
  <c r="C171" i="14"/>
  <c r="B173" i="14" l="1" a="1"/>
  <c r="B173" i="14" s="1"/>
  <c r="C172" i="14"/>
  <c r="B174" i="14" l="1" a="1"/>
  <c r="B174" i="14" s="1"/>
  <c r="C173" i="14"/>
  <c r="B175" i="14" l="1" a="1"/>
  <c r="B175" i="14" s="1"/>
  <c r="C174" i="14"/>
  <c r="B176" i="14" l="1" a="1"/>
  <c r="B176" i="14" s="1"/>
  <c r="C175" i="14"/>
  <c r="B177" i="14" l="1" a="1"/>
  <c r="B177" i="14" s="1"/>
  <c r="C176" i="14"/>
  <c r="B178" i="14" l="1" a="1"/>
  <c r="B178" i="14" s="1"/>
  <c r="C177" i="14"/>
  <c r="B179" i="14" l="1" a="1"/>
  <c r="B179" i="14" s="1"/>
  <c r="C178" i="14"/>
  <c r="B180" i="14" l="1" a="1"/>
  <c r="B180" i="14" s="1"/>
  <c r="C179" i="14"/>
  <c r="B181" i="14" l="1" a="1"/>
  <c r="B181" i="14" s="1"/>
  <c r="C180" i="14"/>
  <c r="B182" i="14" l="1" a="1"/>
  <c r="B182" i="14" s="1"/>
  <c r="C181" i="14"/>
  <c r="B183" i="14" l="1" a="1"/>
  <c r="B183" i="14" s="1"/>
  <c r="C182" i="14"/>
  <c r="B184" i="14" l="1" a="1"/>
  <c r="B184" i="14" s="1"/>
  <c r="C183" i="14"/>
  <c r="B185" i="14" l="1" a="1"/>
  <c r="B185" i="14" s="1"/>
  <c r="C184" i="14"/>
  <c r="B186" i="14" l="1" a="1"/>
  <c r="B186" i="14" s="1"/>
  <c r="C185" i="14"/>
  <c r="B187" i="14" l="1" a="1"/>
  <c r="B187" i="14" s="1"/>
  <c r="C186" i="14"/>
  <c r="B188" i="14" l="1" a="1"/>
  <c r="B188" i="14" s="1"/>
  <c r="C187" i="14"/>
  <c r="B189" i="14" l="1" a="1"/>
  <c r="B189" i="14" s="1"/>
  <c r="C188" i="14"/>
  <c r="B190" i="14" l="1" a="1"/>
  <c r="B190" i="14" s="1"/>
  <c r="C189" i="14"/>
  <c r="B191" i="14" l="1" a="1"/>
  <c r="B191" i="14" s="1"/>
  <c r="C190" i="14"/>
  <c r="B192" i="14" l="1" a="1"/>
  <c r="B192" i="14" s="1"/>
  <c r="C191" i="14"/>
  <c r="B193" i="14" l="1" a="1"/>
  <c r="B193" i="14" s="1"/>
  <c r="C192" i="14"/>
  <c r="B194" i="14" l="1" a="1"/>
  <c r="B194" i="14" s="1"/>
  <c r="C193" i="14"/>
  <c r="B195" i="14" l="1" a="1"/>
  <c r="B195" i="14" s="1"/>
  <c r="C194" i="14"/>
  <c r="B196" i="14" l="1" a="1"/>
  <c r="B196" i="14" s="1"/>
  <c r="C195" i="14"/>
  <c r="B197" i="14" l="1" a="1"/>
  <c r="B197" i="14" s="1"/>
  <c r="C196" i="14"/>
  <c r="B198" i="14" l="1" a="1"/>
  <c r="B198" i="14" s="1"/>
  <c r="C197" i="14"/>
  <c r="B199" i="14" l="1" a="1"/>
  <c r="B199" i="14" s="1"/>
  <c r="C198" i="14"/>
  <c r="B200" i="14" l="1" a="1"/>
  <c r="B200" i="14" s="1"/>
  <c r="C199" i="14"/>
  <c r="B201" i="14" l="1" a="1"/>
  <c r="B201" i="14" s="1"/>
  <c r="C201" i="14" s="1"/>
  <c r="C200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<sst xmlns="http://schemas.openxmlformats.org/spreadsheetml/2006/main" count="174" uniqueCount="150">
  <si>
    <t>Área</t>
  </si>
  <si>
    <t>Cidade/Estado</t>
  </si>
  <si>
    <t>Data da publicação</t>
  </si>
  <si>
    <t>Data do fechamento</t>
  </si>
  <si>
    <t>Observações</t>
  </si>
  <si>
    <t>Boas-vindas! 💚</t>
  </si>
  <si>
    <t>As instruções abaixo vão te ajudar a usar essa planilha da melhor forma!</t>
  </si>
  <si>
    <t xml:space="preserve">Quero participar! </t>
  </si>
  <si>
    <t>Controle de vagas</t>
  </si>
  <si>
    <t>Essa planilha vai te ajudar com:</t>
  </si>
  <si>
    <t>✔️ Organização de seu processo de recrutamento e seleção</t>
  </si>
  <si>
    <t>✔️ Analise do tempo de fechamento da vaga</t>
  </si>
  <si>
    <t>✔️ Acompanhamento do valor médio investido</t>
  </si>
  <si>
    <r>
      <t xml:space="preserve">Participe da nossa 
</t>
    </r>
    <r>
      <rPr>
        <b/>
        <sz val="11"/>
        <color rgb="FFF0F4EF"/>
        <rFont val="Arial"/>
        <family val="2"/>
        <scheme val="major"/>
      </rPr>
      <t>comunidade no WhatsApp</t>
    </r>
    <r>
      <rPr>
        <sz val="11"/>
        <color rgb="FFF0F4EF"/>
        <rFont val="Arial"/>
        <family val="2"/>
        <scheme val="major"/>
      </rPr>
      <t xml:space="preserve">! 
O lugar certo para quem precisa 
ficar por dentro das </t>
    </r>
    <r>
      <rPr>
        <b/>
        <sz val="11"/>
        <color rgb="FFF0F4EF"/>
        <rFont val="Arial"/>
        <family val="2"/>
        <scheme val="major"/>
      </rPr>
      <t>atualizações 
do RH e DP, eventos e tendências</t>
    </r>
    <r>
      <rPr>
        <sz val="11"/>
        <color rgb="FFF0F4EF"/>
        <rFont val="Arial"/>
        <family val="2"/>
        <scheme val="major"/>
      </rPr>
      <t>!</t>
    </r>
  </si>
  <si>
    <r>
      <rPr>
        <b/>
        <sz val="10"/>
        <color rgb="FF96CE00"/>
        <rFont val="Arial"/>
        <family val="2"/>
        <scheme val="major"/>
      </rPr>
      <t>Bônus:</t>
    </r>
    <r>
      <rPr>
        <b/>
        <sz val="10"/>
        <color rgb="FF003366"/>
        <rFont val="Arial"/>
        <family val="2"/>
        <scheme val="major"/>
      </rPr>
      <t xml:space="preserve"> </t>
    </r>
    <r>
      <rPr>
        <sz val="10"/>
        <color rgb="FF003366"/>
        <rFont val="Arial"/>
        <family val="2"/>
        <scheme val="major"/>
      </rPr>
      <t xml:space="preserve">A aba </t>
    </r>
    <r>
      <rPr>
        <b/>
        <sz val="10"/>
        <color rgb="FF003366"/>
        <rFont val="Arial"/>
        <family val="2"/>
        <scheme val="major"/>
      </rPr>
      <t>"Materiais relevantes"</t>
    </r>
    <r>
      <rPr>
        <sz val="10"/>
        <color rgb="FF003366"/>
        <rFont val="Arial"/>
        <family val="2"/>
        <scheme val="major"/>
      </rPr>
      <t xml:space="preserve"> foi criada para potencializar ainda mais o recrutamento e seleção da sua empresa.</t>
    </r>
  </si>
  <si>
    <t xml:space="preserve">            Todos os materiais são gratuitos. Aproveite!</t>
  </si>
  <si>
    <t>Visão geral</t>
  </si>
  <si>
    <t>Recursos Humanos</t>
  </si>
  <si>
    <t>Administrativo</t>
  </si>
  <si>
    <t>Atendimento</t>
  </si>
  <si>
    <t>Compras</t>
  </si>
  <si>
    <t>Contabilidade</t>
  </si>
  <si>
    <t>Engenharia</t>
  </si>
  <si>
    <t>Financeiro</t>
  </si>
  <si>
    <t>Inovação</t>
  </si>
  <si>
    <t>Jurídico</t>
  </si>
  <si>
    <t>Logística</t>
  </si>
  <si>
    <t>Marketing</t>
  </si>
  <si>
    <t>Operação</t>
  </si>
  <si>
    <t>Segurança</t>
  </si>
  <si>
    <t>TI</t>
  </si>
  <si>
    <t>Vendas</t>
  </si>
  <si>
    <t>Ana</t>
  </si>
  <si>
    <t>Carolina</t>
  </si>
  <si>
    <t>Joice</t>
  </si>
  <si>
    <t>Jéssica</t>
  </si>
  <si>
    <t>Rafael</t>
  </si>
  <si>
    <t>Analista</t>
  </si>
  <si>
    <t>Coordenador</t>
  </si>
  <si>
    <t>Desenvolvedor</t>
  </si>
  <si>
    <t>Diretor</t>
  </si>
  <si>
    <t>Especialista</t>
  </si>
  <si>
    <t>Estagiário</t>
  </si>
  <si>
    <t>Gerente</t>
  </si>
  <si>
    <t>Jovem Aprendiz</t>
  </si>
  <si>
    <t>Supervisor</t>
  </si>
  <si>
    <t>Trainee</t>
  </si>
  <si>
    <t>Status da vaga</t>
  </si>
  <si>
    <t>Publicada</t>
  </si>
  <si>
    <t>Rascunho</t>
  </si>
  <si>
    <t>Em aprovação</t>
  </si>
  <si>
    <t>Congelada</t>
  </si>
  <si>
    <t>Projetos</t>
  </si>
  <si>
    <t>Em quais locais a vaga foi compartilhada? Sites, plataformas, universidades etc.
Esse campo é de preenchimento livre.</t>
  </si>
  <si>
    <t>Perfil da vaga 
(Cargo)</t>
  </si>
  <si>
    <t>Selecione se a vaga está fechada, aberta etc. 
Se não encontrar o status, vá para a aba "Base de Dados" e adicione na respectiva coluna.</t>
  </si>
  <si>
    <t>Informe algo relevante sobre e a vaga. Por exemplo, se ela foi preenchida, você pode colocar aqui de onde veio a pessoa candidata encontrada. Isso ajuda a direcionar os esforços para o local certo!</t>
  </si>
  <si>
    <t>Base de dados</t>
  </si>
  <si>
    <r>
      <rPr>
        <b/>
        <sz val="10"/>
        <color rgb="FF96CE00"/>
        <rFont val="Arial"/>
        <family val="2"/>
        <scheme val="major"/>
      </rPr>
      <t>Passo 1:</t>
    </r>
    <r>
      <rPr>
        <sz val="10"/>
        <color rgb="FF13164E"/>
        <rFont val="Arial"/>
        <family val="2"/>
        <scheme val="major"/>
      </rPr>
      <t xml:space="preserve"> A aba </t>
    </r>
    <r>
      <rPr>
        <b/>
        <sz val="10"/>
        <color rgb="FF13164E"/>
        <rFont val="Arial"/>
        <family val="2"/>
        <scheme val="major"/>
      </rPr>
      <t xml:space="preserve">"Base de Dados" </t>
    </r>
    <r>
      <rPr>
        <sz val="10"/>
        <color rgb="FF13164E"/>
        <rFont val="Arial"/>
        <family val="2"/>
        <scheme val="major"/>
      </rPr>
      <t>deve ser usada como apoio para demais abas. Há instruções de uso lá mesmo :)</t>
    </r>
  </si>
  <si>
    <t>Fechada</t>
  </si>
  <si>
    <t>Assistente</t>
  </si>
  <si>
    <t>Pessoa recrutadora</t>
  </si>
  <si>
    <t>Quantidade de posições abertas</t>
  </si>
  <si>
    <t>Quantidade de pessoas candidatas</t>
  </si>
  <si>
    <t>Daniela</t>
  </si>
  <si>
    <t>Isabella</t>
  </si>
  <si>
    <t>Marcelo</t>
  </si>
  <si>
    <t>Título da vaga 
(função)</t>
  </si>
  <si>
    <t>Perfil da vaga 
(cargo)</t>
  </si>
  <si>
    <t>O título da vaga, por exemplo: Analista de DP, Gerente de Marketing, etc.
Campo livre.</t>
  </si>
  <si>
    <t>Número de posições abertas por vaga.
Campo livre.</t>
  </si>
  <si>
    <t>Número total de pessoas que se candidataram para as vagas.
Campo livre.</t>
  </si>
  <si>
    <t>Para qual cidade/estado essa vaga está sendo trabalhada.
Campo livre.</t>
  </si>
  <si>
    <t>Pessoa solicitante</t>
  </si>
  <si>
    <t>Plataformas</t>
  </si>
  <si>
    <t>Analista de Marketing</t>
  </si>
  <si>
    <t>Quantidade de dias em que a vaga ficou aberta</t>
  </si>
  <si>
    <t>-</t>
  </si>
  <si>
    <t>Não altere essa coluna, os valores são calculados automaticamente.</t>
  </si>
  <si>
    <t>Quantidade de posições trabalhadas x pessoa recrutadora</t>
  </si>
  <si>
    <t>Média de dias abertos x cargo</t>
  </si>
  <si>
    <t>Indicadores</t>
  </si>
  <si>
    <t>Indicadores de recrutamento por perfil de vaga</t>
  </si>
  <si>
    <t>Distribuição</t>
  </si>
  <si>
    <t>Marina</t>
  </si>
  <si>
    <t>Remoto</t>
  </si>
  <si>
    <t>Linkedin</t>
  </si>
  <si>
    <t>Utilize essa aba como apoio para a aba "Visão geral".
Assim, você não corre o risco de perder as configurações das planilhas :)</t>
  </si>
  <si>
    <t>Analista Financeiro</t>
  </si>
  <si>
    <t>Linkedin, InHire, Grupos de WhatsaApp</t>
  </si>
  <si>
    <t>Grupo de WhatsApp trouxe melhores candidatos</t>
  </si>
  <si>
    <t>Ténico de Suporte</t>
  </si>
  <si>
    <t>Quantidade total de posições abertas por cargo (anual)</t>
  </si>
  <si>
    <t>Quantidade de pessoas candidatas x cargo (ano)</t>
  </si>
  <si>
    <t>Gerente de Mareketing</t>
  </si>
  <si>
    <t>Investimento</t>
  </si>
  <si>
    <t>Valor investido para divulgar a vaga.
 Informe o valor em reais. Esse campo é livre.</t>
  </si>
  <si>
    <t>Taxa de fechamento x pessoa recrutadora</t>
  </si>
  <si>
    <t>Vagas preenchidas</t>
  </si>
  <si>
    <t>Quantidade de vagas preenchidas</t>
  </si>
  <si>
    <t>Valor médio investido x cargo</t>
  </si>
  <si>
    <t>Materiais relevantes</t>
  </si>
  <si>
    <t>Acesse nossos materiais gratuitos!
Tenha em mãos ferramentas ricas que vão auxiliar ainda mais o seu RH e DP!</t>
  </si>
  <si>
    <t>📝 Pegue agora mesmo o seu guia gratuito!</t>
  </si>
  <si>
    <t>[PLANILHA] Checklist de admissão e desligamento</t>
  </si>
  <si>
    <t xml:space="preserve">Garanta a gestão eficiente e segura dos processos de admissão e </t>
  </si>
  <si>
    <t>desligamento das pessoas colaboradoras.</t>
  </si>
  <si>
    <t>Use esse checklista para:</t>
  </si>
  <si>
    <t>✔️ Conferir a documentação necessária para ambos os processos</t>
  </si>
  <si>
    <t>✔️ Evitar erros e multas</t>
  </si>
  <si>
    <t>✔️ Ter mais praticidade e agilidade</t>
  </si>
  <si>
    <t>📝 Baixe agora mesmo o seu checklist!</t>
  </si>
  <si>
    <t>📝 Acesse agora o Controle de ASO!</t>
  </si>
  <si>
    <t xml:space="preserve"> e evitar possíveis penalidades!</t>
  </si>
  <si>
    <t>Com a nossa planilha, é fácil organizar os diversos tipos de ASO</t>
  </si>
  <si>
    <t>✔️ Equipe saudável e produtiva</t>
  </si>
  <si>
    <t>✔️ Redução dos riscos de procesos trabalhistas</t>
  </si>
  <si>
    <t>✔️ Mais organização no seu dia a dia</t>
  </si>
  <si>
    <t>Os benefícios dessa planilha:</t>
  </si>
  <si>
    <t>[PLANILHA] Controle de ASO</t>
  </si>
  <si>
    <t>[PLANILHA] Cálculo de turnover</t>
  </si>
  <si>
    <t>planilha para acompanhar esse índice e oferecer alternativas para reduzi-lo.</t>
  </si>
  <si>
    <t>Retenção de talentos é um ponto crítico na estratégia da liderança. Utilize essa</t>
  </si>
  <si>
    <t>Aqui você vai encontrar:</t>
  </si>
  <si>
    <t>✔️ Aplicação imediata</t>
  </si>
  <si>
    <t>✔️ Comparação entre os diferentes tipos de turnover</t>
  </si>
  <si>
    <t>✔️ Projeção para o futuro</t>
  </si>
  <si>
    <r>
      <rPr>
        <b/>
        <sz val="10"/>
        <color rgb="FF96CE00"/>
        <rFont val="Arial"/>
        <family val="2"/>
        <scheme val="major"/>
      </rPr>
      <t>Passo 3:</t>
    </r>
    <r>
      <rPr>
        <sz val="10"/>
        <color rgb="FF13164E"/>
        <rFont val="Arial"/>
        <family val="2"/>
        <scheme val="major"/>
      </rPr>
      <t xml:space="preserve"> Na aba </t>
    </r>
    <r>
      <rPr>
        <b/>
        <sz val="10"/>
        <color rgb="FF13164E"/>
        <rFont val="Arial"/>
        <family val="2"/>
        <scheme val="major"/>
      </rPr>
      <t>"Indicadores"</t>
    </r>
    <r>
      <rPr>
        <sz val="10"/>
        <color rgb="FF13164E"/>
        <rFont val="Arial"/>
        <family val="2"/>
        <scheme val="major"/>
      </rPr>
      <t xml:space="preserve">, você encontra um resumo com os principais </t>
    </r>
    <r>
      <rPr>
        <b/>
        <sz val="10"/>
        <color rgb="FF003366"/>
        <rFont val="Arial"/>
        <family val="2"/>
        <scheme val="major"/>
      </rPr>
      <t>índices</t>
    </r>
  </si>
  <si>
    <t>Se não encontrá-la entre as opções, adicione naaba "Base de dados".</t>
  </si>
  <si>
    <t>Selecione o perfil: assistente, analista, coordenador etc.
Se não encontrar o perfil, adicione-o na aba "Base de dados".</t>
  </si>
  <si>
    <t>Selecione a área solicitante: administrativo, financeiro, marketing etc. 
Se não encontrar a área, adicione-a na aba "Base de dados".</t>
  </si>
  <si>
    <t>Área solicitante</t>
  </si>
  <si>
    <t>Nome da pessoa que solicitou a abertura da vaga
Campo livre.</t>
  </si>
  <si>
    <t>Selecione o nome da pessoa responsável pelo recrutamento. Se não encontrar o nome, adicione-o na aba "Base de dados".</t>
  </si>
  <si>
    <t>Total de posições preenchidas. 
Campo livre.</t>
  </si>
  <si>
    <r>
      <t xml:space="preserve">Passo 2: </t>
    </r>
    <r>
      <rPr>
        <sz val="10"/>
        <color rgb="FF13164E"/>
        <rFont val="Arial"/>
        <family val="2"/>
        <scheme val="major"/>
      </rPr>
      <t xml:space="preserve">Na aba </t>
    </r>
    <r>
      <rPr>
        <b/>
        <sz val="10"/>
        <color rgb="FF13164E"/>
        <rFont val="Arial"/>
        <family val="2"/>
        <scheme val="major"/>
      </rPr>
      <t>"Visão geral"</t>
    </r>
    <r>
      <rPr>
        <sz val="10"/>
        <color rgb="FF13164E"/>
        <rFont val="Arial"/>
        <family val="2"/>
        <scheme val="major"/>
      </rPr>
      <t xml:space="preserve">, adicione informações sobre as vagas em aberto. </t>
    </r>
  </si>
  <si>
    <t xml:space="preserve">              Isso vai ajudar na criação do resumo em "Indicadores".</t>
  </si>
  <si>
    <t xml:space="preserve">              quali e quantitativos na gestão das suas vagas.</t>
  </si>
  <si>
    <t>Adicione outras áreas nesta coluna.</t>
  </si>
  <si>
    <t>Adicione o nome de outras pessoas recrutadoras nesta coluna.</t>
  </si>
  <si>
    <t>Adicione outros cargos nesta coluna.</t>
  </si>
  <si>
    <t>Adicione outros status para vagas nesta coluna.</t>
  </si>
  <si>
    <t>[FERRAMENTA] Conven.IA - ChatGPT para RH &amp; DP</t>
  </si>
  <si>
    <t xml:space="preserve">Com o Conven.IA, você obtém respostas rápidas e precisas para suas dúvidas mais </t>
  </si>
  <si>
    <t>frequentes, desde processos de folha e gestão de férias até avaliações de desempenho.</t>
  </si>
  <si>
    <t>O que mais o Conven.IA faz por você:</t>
  </si>
  <si>
    <t>✔️ Informações atualizadas e fundamentadas</t>
  </si>
  <si>
    <t>✔️ Apoio estratégico na gestão de talentos</t>
  </si>
  <si>
    <t>✔️ Agilidade para suas decisões diárias</t>
  </si>
  <si>
    <t>⭐ Acesse o Conven.IA gratuitamente e sempre que precisar!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</si>
</sst>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"/>
  </numFmts>
  <fonts count="53" x14ac:knownFonts="1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ajor"/>
    </font>
    <font>
      <sz val="12"/>
      <color rgb="FF000000"/>
      <name val="Arial"/>
      <family val="2"/>
      <scheme val="major"/>
    </font>
    <font>
      <sz val="12"/>
      <color rgb="FF000000"/>
      <name val="Calibri"/>
      <family val="2"/>
      <charset val="1"/>
    </font>
    <font>
      <sz val="12"/>
      <color theme="1"/>
      <name val="Arial"/>
      <family val="2"/>
      <scheme val="minor"/>
    </font>
    <font>
      <u/>
      <sz val="12"/>
      <color theme="10"/>
      <name val="Arial"/>
      <family val="2"/>
      <scheme val="minor"/>
    </font>
    <font>
      <sz val="11"/>
      <color indexed="8"/>
      <name val="Calibri"/>
      <family val="2"/>
    </font>
    <font>
      <u/>
      <sz val="11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22"/>
      <color rgb="FF96CE00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indexed="8"/>
      <name val="Arial"/>
      <family val="2"/>
      <scheme val="major"/>
    </font>
    <font>
      <sz val="11"/>
      <color indexed="8"/>
      <name val="Arial"/>
      <family val="2"/>
      <scheme val="major"/>
    </font>
    <font>
      <b/>
      <sz val="12"/>
      <color rgb="FF13164E"/>
      <name val="Arial"/>
      <family val="2"/>
      <scheme val="major"/>
    </font>
    <font>
      <sz val="12"/>
      <color rgb="FF13164E"/>
      <name val="Arial"/>
      <family val="2"/>
      <scheme val="major"/>
    </font>
    <font>
      <sz val="10"/>
      <color rgb="FF13164E"/>
      <name val="Arial"/>
      <family val="2"/>
      <scheme val="major"/>
    </font>
    <font>
      <sz val="12"/>
      <color theme="1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color rgb="FFF0F4EF"/>
      <name val="Arial"/>
      <family val="2"/>
      <scheme val="major"/>
    </font>
    <font>
      <b/>
      <sz val="11"/>
      <color rgb="FFF0F4EF"/>
      <name val="Arial"/>
      <family val="2"/>
      <scheme val="major"/>
    </font>
    <font>
      <b/>
      <sz val="10"/>
      <color rgb="FF96CE00"/>
      <name val="Arial"/>
      <family val="2"/>
      <scheme val="major"/>
    </font>
    <font>
      <b/>
      <u/>
      <sz val="12"/>
      <color rgb="FFF0F4EF"/>
      <name val="Arial"/>
      <family val="2"/>
      <scheme val="major"/>
    </font>
    <font>
      <sz val="10"/>
      <name val="Arial"/>
      <family val="2"/>
      <scheme val="major"/>
    </font>
    <font>
      <b/>
      <sz val="10"/>
      <color rgb="FF003366"/>
      <name val="Arial"/>
      <family val="2"/>
      <scheme val="major"/>
    </font>
    <font>
      <b/>
      <sz val="10"/>
      <color rgb="FF13164E"/>
      <name val="Arial"/>
      <family val="2"/>
      <scheme val="major"/>
    </font>
    <font>
      <sz val="10"/>
      <color rgb="FF003366"/>
      <name val="Arial"/>
      <family val="2"/>
      <scheme val="major"/>
    </font>
    <font>
      <sz val="10"/>
      <color rgb="FFF0F4EF"/>
      <name val="Arial"/>
      <family val="2"/>
      <scheme val="major"/>
    </font>
    <font>
      <b/>
      <sz val="11"/>
      <color rgb="FF96CE00"/>
      <name val="Arial"/>
      <family val="2"/>
      <scheme val="major"/>
    </font>
    <font>
      <sz val="11"/>
      <color rgb="FF000000"/>
      <name val="Arial"/>
      <scheme val="minor"/>
    </font>
    <font>
      <sz val="9"/>
      <color rgb="FF000000"/>
      <name val="Arial"/>
      <family val="2"/>
      <scheme val="major"/>
    </font>
    <font>
      <sz val="9"/>
      <color rgb="FFF0F4EF"/>
      <name val="Arial"/>
      <family val="2"/>
      <scheme val="major"/>
    </font>
    <font>
      <b/>
      <sz val="10"/>
      <color rgb="FFF0F4EF"/>
      <name val="Arial"/>
      <family val="2"/>
      <scheme val="major"/>
    </font>
    <font>
      <b/>
      <sz val="11"/>
      <color rgb="FF13164E"/>
      <name val="Arial"/>
      <family val="2"/>
      <scheme val="major"/>
    </font>
    <font>
      <sz val="10"/>
      <color rgb="FF13164E"/>
      <name val="Arial"/>
      <family val="2"/>
      <scheme val="minor"/>
    </font>
    <font>
      <u/>
      <sz val="11"/>
      <color theme="10"/>
      <name val="Arial"/>
      <scheme val="minor"/>
    </font>
    <font>
      <sz val="11"/>
      <color theme="1"/>
      <name val="Arial"/>
      <family val="2"/>
    </font>
    <font>
      <b/>
      <sz val="12"/>
      <color rgb="FFF0F4EF"/>
      <name val="Arial"/>
      <family val="2"/>
      <scheme val="minor"/>
    </font>
    <font>
      <b/>
      <sz val="9"/>
      <color rgb="FFF0F4EF"/>
      <name val="Arial"/>
      <family val="2"/>
      <scheme val="major"/>
    </font>
    <font>
      <b/>
      <sz val="11"/>
      <color rgb="FFF0F4EF"/>
      <name val="Arial"/>
      <family val="2"/>
    </font>
    <font>
      <sz val="11"/>
      <color rgb="FF13164E"/>
      <name val="Arial"/>
      <family val="2"/>
    </font>
    <font>
      <b/>
      <sz val="22"/>
      <color rgb="FF92D050"/>
      <name val="Arial"/>
      <family val="2"/>
    </font>
    <font>
      <b/>
      <sz val="12"/>
      <color rgb="FF96CE00"/>
      <name val="Arial"/>
      <family val="2"/>
    </font>
    <font>
      <b/>
      <sz val="11"/>
      <color rgb="FF002060"/>
      <name val="Arial"/>
      <family val="2"/>
    </font>
    <font>
      <sz val="11"/>
      <color rgb="FF002060"/>
      <name val="Arial"/>
      <family val="2"/>
    </font>
    <font>
      <b/>
      <sz val="11"/>
      <color rgb="FF96CE00"/>
      <name val="Arial"/>
      <family val="2"/>
    </font>
    <font>
      <b/>
      <sz val="11"/>
      <color rgb="FF92D050"/>
      <name val="Arial"/>
      <family val="2"/>
    </font>
    <font>
      <b/>
      <u/>
      <sz val="11"/>
      <color rgb="FF92D050"/>
      <name val="Arial"/>
      <family val="2"/>
    </font>
    <font>
      <b/>
      <u/>
      <sz val="11"/>
      <color rgb="FF96CE00"/>
      <name val="Arial"/>
      <family val="2"/>
    </font>
    <font>
      <b/>
      <u/>
      <sz val="12"/>
      <color rgb="FF96CE00"/>
      <name val="Arial"/>
      <family val="2"/>
      <scheme val="minor"/>
    </font>
    <font>
      <sz val="10"/>
      <color rgb="FFF0F4EF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6CE00"/>
        <bgColor rgb="FF96CE00"/>
      </patternFill>
    </fill>
    <fill>
      <patternFill patternType="solid">
        <fgColor rgb="FF13164E"/>
        <bgColor rgb="FF13164E"/>
      </patternFill>
    </fill>
    <fill>
      <patternFill patternType="solid">
        <fgColor rgb="FFF0F4E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96CE00"/>
        <bgColor indexed="64"/>
      </patternFill>
    </fill>
    <fill>
      <patternFill patternType="solid">
        <fgColor rgb="FF13164E"/>
        <bgColor rgb="FFAB6FE7"/>
      </patternFill>
    </fill>
    <fill>
      <patternFill patternType="solid">
        <fgColor rgb="FF96CE00"/>
        <bgColor rgb="FFD9D2E9"/>
      </patternFill>
    </fill>
    <fill>
      <patternFill patternType="solid">
        <fgColor rgb="FF96CE00"/>
        <bgColor rgb="FFAB6FE7"/>
      </patternFill>
    </fill>
    <fill>
      <patternFill patternType="solid">
        <fgColor rgb="FFF0F4EF"/>
        <bgColor indexed="64"/>
      </patternFill>
    </fill>
    <fill>
      <patternFill patternType="solid">
        <fgColor theme="0"/>
        <bgColor rgb="FFAB6FE7"/>
      </patternFill>
    </fill>
    <fill>
      <patternFill patternType="solid">
        <fgColor rgb="FF13164E"/>
        <bgColor indexed="64"/>
      </patternFill>
    </fill>
    <fill>
      <patternFill patternType="solid">
        <fgColor rgb="FFFF86A3"/>
        <bgColor rgb="FFAB6FE7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F0F4EF"/>
      </left>
      <right style="medium">
        <color rgb="FFF0F4EF"/>
      </right>
      <top style="medium">
        <color rgb="FFF0F4EF"/>
      </top>
      <bottom/>
      <diagonal/>
    </border>
    <border>
      <left style="medium">
        <color rgb="FFF0F4EF"/>
      </left>
      <right style="medium">
        <color rgb="FFF0F4EF"/>
      </right>
      <top/>
      <bottom style="medium">
        <color rgb="FFF0F4EF"/>
      </bottom>
      <diagonal/>
    </border>
    <border>
      <left/>
      <right style="medium">
        <color rgb="FFF0F4EF"/>
      </right>
      <top/>
      <bottom/>
      <diagonal/>
    </border>
    <border>
      <left style="thin">
        <color rgb="FF13164E"/>
      </left>
      <right style="thin">
        <color rgb="FF13164E"/>
      </right>
      <top style="thin">
        <color rgb="FF13164E"/>
      </top>
      <bottom style="thin">
        <color rgb="FF13164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13164E"/>
      </left>
      <right style="thin">
        <color rgb="FF13164E"/>
      </right>
      <top/>
      <bottom style="thin">
        <color rgb="FF13164E"/>
      </bottom>
      <diagonal/>
    </border>
    <border>
      <left style="medium">
        <color rgb="FF13164E"/>
      </left>
      <right/>
      <top style="medium">
        <color rgb="FF13164E"/>
      </top>
      <bottom style="medium">
        <color rgb="FF13164E"/>
      </bottom>
      <diagonal/>
    </border>
    <border>
      <left/>
      <right/>
      <top style="medium">
        <color rgb="FF13164E"/>
      </top>
      <bottom style="medium">
        <color rgb="FF13164E"/>
      </bottom>
      <diagonal/>
    </border>
    <border>
      <left/>
      <right style="medium">
        <color rgb="FF13164E"/>
      </right>
      <top style="medium">
        <color rgb="FF13164E"/>
      </top>
      <bottom style="medium">
        <color rgb="FF13164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13164E"/>
      </left>
      <right style="thin">
        <color rgb="FF13164E"/>
      </right>
      <top style="thin">
        <color rgb="FF13164E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13164E"/>
      </right>
      <top/>
      <bottom style="thin">
        <color rgb="FF13164E"/>
      </bottom>
      <diagonal/>
    </border>
    <border>
      <left/>
      <right style="thin">
        <color rgb="FF13164E"/>
      </right>
      <top style="thin">
        <color rgb="FF13164E"/>
      </top>
      <bottom style="thin">
        <color rgb="FF13164E"/>
      </bottom>
      <diagonal/>
    </border>
    <border>
      <left/>
      <right style="thin">
        <color rgb="FF13164E"/>
      </right>
      <top style="thin">
        <color rgb="FF13164E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rgb="FF13164E"/>
      </left>
      <right/>
      <top style="thin">
        <color rgb="FF13164E"/>
      </top>
      <bottom style="thin">
        <color rgb="FF13164E"/>
      </bottom>
      <diagonal/>
    </border>
    <border>
      <left style="thin">
        <color rgb="FF13164E"/>
      </left>
      <right/>
      <top/>
      <bottom style="thin">
        <color rgb="FF13164E"/>
      </bottom>
      <diagonal/>
    </border>
    <border>
      <left style="thin">
        <color rgb="FF13164E"/>
      </left>
      <right style="thin">
        <color rgb="FF13164E"/>
      </right>
      <top style="thin">
        <color theme="0"/>
      </top>
      <bottom style="thin">
        <color rgb="FF13164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13164E"/>
      </bottom>
      <diagonal/>
    </border>
    <border>
      <left style="thin">
        <color theme="0"/>
      </left>
      <right style="thin">
        <color rgb="FF13164E"/>
      </right>
      <top style="thin">
        <color theme="0"/>
      </top>
      <bottom style="thin">
        <color theme="0"/>
      </bottom>
      <diagonal/>
    </border>
    <border>
      <left style="thin">
        <color rgb="FF13164E"/>
      </left>
      <right style="thin">
        <color theme="0"/>
      </right>
      <top style="thin">
        <color theme="0"/>
      </top>
      <bottom style="thin">
        <color rgb="FF13164E"/>
      </bottom>
      <diagonal/>
    </border>
    <border>
      <left style="thin">
        <color theme="0" tint="-0.249977111117893"/>
      </left>
      <right style="thin">
        <color rgb="FF13164E"/>
      </right>
      <top style="thin">
        <color rgb="FF13164E"/>
      </top>
      <bottom style="thin">
        <color rgb="FF13164E"/>
      </bottom>
      <diagonal/>
    </border>
    <border>
      <left style="thin">
        <color rgb="FF13164E"/>
      </left>
      <right/>
      <top/>
      <bottom/>
      <diagonal/>
    </border>
    <border>
      <left style="thin">
        <color rgb="FF13164E"/>
      </left>
      <right/>
      <top style="thin">
        <color rgb="FF13164E"/>
      </top>
      <bottom/>
      <diagonal/>
    </border>
    <border>
      <left/>
      <right style="thin">
        <color theme="0"/>
      </right>
      <top/>
      <bottom style="thin">
        <color rgb="FF13164E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rgb="FF13164E"/>
      </bottom>
      <diagonal/>
    </border>
    <border>
      <left/>
      <right style="thin">
        <color indexed="64"/>
      </right>
      <top/>
      <bottom style="thin">
        <color rgb="FF13164E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theme="0" tint="-0.249977111117893"/>
      </left>
      <right style="thin">
        <color rgb="FF13164E"/>
      </right>
      <top style="thin">
        <color rgb="FF13164E"/>
      </top>
      <bottom/>
      <diagonal/>
    </border>
    <border>
      <left style="thin">
        <color rgb="FF13164E"/>
      </left>
      <right style="thin">
        <color rgb="FF13164E"/>
      </right>
      <top style="thin">
        <color rgb="FF13164E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rgb="FF13164E"/>
      </right>
      <top style="thin">
        <color indexed="64"/>
      </top>
      <bottom style="thin">
        <color indexed="64"/>
      </bottom>
      <diagonal/>
    </border>
    <border>
      <left style="thin">
        <color rgb="FF13164E"/>
      </left>
      <right style="thin">
        <color rgb="FF13164E"/>
      </right>
      <top style="thin">
        <color indexed="64"/>
      </top>
      <bottom style="thin">
        <color indexed="64"/>
      </bottom>
      <diagonal/>
    </border>
    <border>
      <left style="thin">
        <color rgb="FF13164E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13164E"/>
      </right>
      <top style="thin">
        <color indexed="64"/>
      </top>
      <bottom style="thin">
        <color indexed="64"/>
      </bottom>
      <diagonal/>
    </border>
    <border>
      <left style="thin">
        <color rgb="FF13164E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</borders>
  <cellStyleXfs count="15">
    <xf numFmtId="0" fontId="0" fillId="0" borderId="0"/>
    <xf numFmtId="0" fontId="5" fillId="0" borderId="2"/>
    <xf numFmtId="0" fontId="6" fillId="0" borderId="2"/>
    <xf numFmtId="0" fontId="7" fillId="0" borderId="2" applyNumberFormat="0" applyFill="0" applyBorder="0" applyAlignment="0" applyProtection="0"/>
    <xf numFmtId="0" fontId="2" fillId="0" borderId="2"/>
    <xf numFmtId="0" fontId="8" fillId="0" borderId="2"/>
    <xf numFmtId="0" fontId="6" fillId="0" borderId="2"/>
    <xf numFmtId="0" fontId="9" fillId="0" borderId="2" applyNumberFormat="0" applyFill="0" applyBorder="0" applyAlignment="0" applyProtection="0"/>
    <xf numFmtId="0" fontId="8" fillId="0" borderId="2"/>
    <xf numFmtId="0" fontId="10" fillId="0" borderId="2"/>
    <xf numFmtId="0" fontId="11" fillId="0" borderId="2"/>
    <xf numFmtId="44" fontId="31" fillId="0" borderId="0" applyFont="0" applyFill="0" applyBorder="0" applyAlignment="0" applyProtection="0"/>
    <xf numFmtId="0" fontId="3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1" fillId="0" borderId="2"/>
  </cellStyleXfs>
  <cellXfs count="173">
    <xf numFmtId="0" fontId="0" fillId="0" borderId="0" xfId="0"/>
    <xf numFmtId="0" fontId="3" fillId="2" borderId="2" xfId="0" applyFont="1" applyFill="1" applyBorder="1"/>
    <xf numFmtId="0" fontId="4" fillId="2" borderId="2" xfId="0" applyFont="1" applyFill="1" applyBorder="1" applyAlignment="1">
      <alignment vertical="top" wrapText="1"/>
    </xf>
    <xf numFmtId="0" fontId="12" fillId="6" borderId="2" xfId="2" applyFont="1" applyFill="1" applyAlignment="1">
      <alignment vertical="center"/>
    </xf>
    <xf numFmtId="0" fontId="13" fillId="2" borderId="2" xfId="4" applyFont="1" applyFill="1"/>
    <xf numFmtId="0" fontId="14" fillId="2" borderId="2" xfId="5" applyFont="1" applyFill="1"/>
    <xf numFmtId="0" fontId="15" fillId="2" borderId="2" xfId="5" applyFont="1" applyFill="1"/>
    <xf numFmtId="0" fontId="16" fillId="2" borderId="2" xfId="4" applyFont="1" applyFill="1"/>
    <xf numFmtId="0" fontId="17" fillId="2" borderId="2" xfId="4" applyFont="1" applyFill="1"/>
    <xf numFmtId="0" fontId="18" fillId="2" borderId="2" xfId="4" applyFont="1" applyFill="1"/>
    <xf numFmtId="0" fontId="19" fillId="2" borderId="2" xfId="4" applyFont="1" applyFill="1"/>
    <xf numFmtId="0" fontId="20" fillId="2" borderId="2" xfId="4" applyFont="1" applyFill="1"/>
    <xf numFmtId="0" fontId="23" fillId="2" borderId="2" xfId="2" applyFont="1" applyFill="1" applyAlignment="1">
      <alignment horizontal="left" vertical="center" readingOrder="1"/>
    </xf>
    <xf numFmtId="0" fontId="13" fillId="2" borderId="2" xfId="4" applyFont="1" applyFill="1" applyAlignment="1">
      <alignment vertical="center"/>
    </xf>
    <xf numFmtId="0" fontId="18" fillId="2" borderId="2" xfId="2" applyFont="1" applyFill="1" applyAlignment="1">
      <alignment horizontal="left" vertical="center" readingOrder="1"/>
    </xf>
    <xf numFmtId="0" fontId="25" fillId="2" borderId="2" xfId="4" applyFont="1" applyFill="1"/>
    <xf numFmtId="0" fontId="26" fillId="2" borderId="2" xfId="2" applyFont="1" applyFill="1" applyAlignment="1">
      <alignment horizontal="left" vertical="center" readingOrder="1"/>
    </xf>
    <xf numFmtId="0" fontId="28" fillId="2" borderId="2" xfId="2" applyFont="1" applyFill="1" applyAlignment="1">
      <alignment vertical="center"/>
    </xf>
    <xf numFmtId="0" fontId="26" fillId="2" borderId="2" xfId="2" applyFont="1" applyFill="1" applyAlignment="1">
      <alignment vertical="center"/>
    </xf>
    <xf numFmtId="0" fontId="29" fillId="7" borderId="2" xfId="1" applyFont="1" applyFill="1"/>
    <xf numFmtId="0" fontId="18" fillId="2" borderId="2" xfId="4" applyFont="1" applyFill="1" applyAlignment="1">
      <alignment vertical="center"/>
    </xf>
    <xf numFmtId="0" fontId="18" fillId="2" borderId="2" xfId="2" applyFont="1" applyFill="1" applyAlignment="1">
      <alignment vertical="center"/>
    </xf>
    <xf numFmtId="0" fontId="30" fillId="6" borderId="2" xfId="2" applyFont="1" applyFill="1" applyAlignment="1">
      <alignment vertical="center"/>
    </xf>
    <xf numFmtId="0" fontId="10" fillId="0" borderId="0" xfId="0" applyFont="1"/>
    <xf numFmtId="0" fontId="12" fillId="5" borderId="2" xfId="2" applyFont="1" applyFill="1" applyAlignment="1">
      <alignment vertical="center"/>
    </xf>
    <xf numFmtId="0" fontId="12" fillId="2" borderId="2" xfId="2" applyFont="1" applyFill="1" applyAlignment="1">
      <alignment vertical="center"/>
    </xf>
    <xf numFmtId="0" fontId="10" fillId="2" borderId="0" xfId="0" applyFont="1" applyFill="1"/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2" fillId="6" borderId="2" xfId="2" applyFont="1" applyFill="1" applyAlignment="1">
      <alignment horizontal="center" vertical="center"/>
    </xf>
    <xf numFmtId="0" fontId="10" fillId="0" borderId="6" xfId="0" applyFont="1" applyBorder="1"/>
    <xf numFmtId="0" fontId="11" fillId="2" borderId="0" xfId="0" applyFont="1" applyFill="1"/>
    <xf numFmtId="0" fontId="11" fillId="0" borderId="0" xfId="0" applyFont="1"/>
    <xf numFmtId="0" fontId="22" fillId="8" borderId="7" xfId="0" applyFont="1" applyFill="1" applyBorder="1" applyAlignment="1">
      <alignment horizontal="center" vertical="center" wrapText="1"/>
    </xf>
    <xf numFmtId="0" fontId="36" fillId="2" borderId="0" xfId="0" applyFont="1" applyFill="1" applyAlignment="1">
      <alignment vertical="center"/>
    </xf>
    <xf numFmtId="0" fontId="36" fillId="0" borderId="8" xfId="0" applyFont="1" applyBorder="1" applyAlignment="1">
      <alignment vertical="center"/>
    </xf>
    <xf numFmtId="0" fontId="36" fillId="0" borderId="6" xfId="0" applyFont="1" applyBorder="1" applyAlignment="1">
      <alignment vertical="center"/>
    </xf>
    <xf numFmtId="0" fontId="36" fillId="2" borderId="0" xfId="0" applyFont="1" applyFill="1"/>
    <xf numFmtId="0" fontId="36" fillId="0" borderId="6" xfId="0" applyFont="1" applyBorder="1"/>
    <xf numFmtId="0" fontId="0" fillId="2" borderId="0" xfId="0" applyFill="1"/>
    <xf numFmtId="0" fontId="18" fillId="2" borderId="2" xfId="0" applyFont="1" applyFill="1" applyBorder="1" applyAlignment="1">
      <alignment vertical="center"/>
    </xf>
    <xf numFmtId="0" fontId="18" fillId="0" borderId="1" xfId="10" applyFont="1" applyBorder="1" applyAlignment="1">
      <alignment vertical="center"/>
    </xf>
    <xf numFmtId="0" fontId="18" fillId="0" borderId="8" xfId="0" applyFont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18" fillId="0" borderId="1" xfId="10" applyNumberFormat="1" applyFont="1" applyBorder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22" fillId="8" borderId="7" xfId="10" applyFont="1" applyFill="1" applyBorder="1" applyAlignment="1">
      <alignment horizontal="center" vertical="center" wrapText="1"/>
    </xf>
    <xf numFmtId="0" fontId="34" fillId="8" borderId="7" xfId="10" applyFont="1" applyFill="1" applyBorder="1" applyAlignment="1">
      <alignment horizontal="center" vertical="center" wrapText="1"/>
    </xf>
    <xf numFmtId="0" fontId="21" fillId="2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32" fillId="2" borderId="2" xfId="0" applyFont="1" applyFill="1" applyBorder="1" applyAlignment="1">
      <alignment vertical="center"/>
    </xf>
    <xf numFmtId="0" fontId="33" fillId="10" borderId="7" xfId="10" applyFont="1" applyFill="1" applyBorder="1" applyAlignment="1">
      <alignment horizontal="center" vertical="center" wrapText="1"/>
    </xf>
    <xf numFmtId="0" fontId="33" fillId="9" borderId="7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vertical="center"/>
    </xf>
    <xf numFmtId="0" fontId="32" fillId="0" borderId="0" xfId="0" applyFont="1" applyAlignment="1">
      <alignment vertical="center"/>
    </xf>
    <xf numFmtId="0" fontId="18" fillId="2" borderId="2" xfId="0" applyFont="1" applyFill="1" applyBorder="1" applyAlignment="1">
      <alignment horizontal="center" vertical="center"/>
    </xf>
    <xf numFmtId="0" fontId="18" fillId="0" borderId="1" xfId="10" applyFont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8" fillId="0" borderId="2" xfId="10" applyFont="1" applyAlignment="1">
      <alignment vertical="center"/>
    </xf>
    <xf numFmtId="0" fontId="18" fillId="0" borderId="8" xfId="0" applyFont="1" applyBorder="1" applyAlignment="1">
      <alignment horizontal="center" vertical="center" wrapText="1"/>
    </xf>
    <xf numFmtId="0" fontId="18" fillId="0" borderId="12" xfId="10" applyFont="1" applyBorder="1" applyAlignment="1">
      <alignment vertical="center"/>
    </xf>
    <xf numFmtId="164" fontId="18" fillId="0" borderId="2" xfId="0" applyNumberFormat="1" applyFont="1" applyBorder="1" applyAlignment="1">
      <alignment horizontal="center" vertical="center"/>
    </xf>
    <xf numFmtId="0" fontId="18" fillId="2" borderId="2" xfId="10" applyFont="1" applyFill="1" applyAlignment="1">
      <alignment horizontal="center" vertical="center"/>
    </xf>
    <xf numFmtId="14" fontId="18" fillId="2" borderId="2" xfId="10" applyNumberFormat="1" applyFont="1" applyFill="1" applyAlignment="1">
      <alignment horizontal="center" vertical="center"/>
    </xf>
    <xf numFmtId="164" fontId="18" fillId="2" borderId="2" xfId="0" applyNumberFormat="1" applyFont="1" applyFill="1" applyBorder="1" applyAlignment="1">
      <alignment horizontal="center" vertical="center"/>
    </xf>
    <xf numFmtId="0" fontId="18" fillId="0" borderId="13" xfId="1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14" fontId="18" fillId="0" borderId="13" xfId="10" applyNumberFormat="1" applyFont="1" applyBorder="1" applyAlignment="1">
      <alignment horizontal="center" vertical="center"/>
    </xf>
    <xf numFmtId="14" fontId="18" fillId="0" borderId="16" xfId="10" applyNumberFormat="1" applyFont="1" applyBorder="1" applyAlignment="1">
      <alignment horizontal="center" vertical="center"/>
    </xf>
    <xf numFmtId="14" fontId="18" fillId="0" borderId="17" xfId="10" applyNumberFormat="1" applyFont="1" applyBorder="1" applyAlignment="1">
      <alignment horizontal="center" vertical="center"/>
    </xf>
    <xf numFmtId="164" fontId="18" fillId="0" borderId="18" xfId="11" applyNumberFormat="1" applyFont="1" applyBorder="1" applyAlignment="1">
      <alignment horizontal="center" vertical="center"/>
    </xf>
    <xf numFmtId="164" fontId="18" fillId="0" borderId="19" xfId="0" applyNumberFormat="1" applyFont="1" applyBorder="1" applyAlignment="1">
      <alignment horizontal="center" vertical="center"/>
    </xf>
    <xf numFmtId="164" fontId="18" fillId="0" borderId="20" xfId="0" applyNumberFormat="1" applyFont="1" applyBorder="1" applyAlignment="1">
      <alignment horizontal="center" vertical="center"/>
    </xf>
    <xf numFmtId="1" fontId="18" fillId="0" borderId="15" xfId="10" applyNumberFormat="1" applyFont="1" applyBorder="1" applyAlignment="1">
      <alignment horizontal="center" vertical="center"/>
    </xf>
    <xf numFmtId="0" fontId="36" fillId="2" borderId="6" xfId="0" applyFont="1" applyFill="1" applyBorder="1" applyAlignment="1">
      <alignment vertical="center"/>
    </xf>
    <xf numFmtId="165" fontId="36" fillId="2" borderId="6" xfId="0" applyNumberFormat="1" applyFont="1" applyFill="1" applyBorder="1" applyAlignment="1">
      <alignment vertical="center"/>
    </xf>
    <xf numFmtId="164" fontId="36" fillId="2" borderId="6" xfId="0" applyNumberFormat="1" applyFont="1" applyFill="1" applyBorder="1" applyAlignment="1">
      <alignment vertical="center"/>
    </xf>
    <xf numFmtId="0" fontId="0" fillId="2" borderId="2" xfId="0" applyFill="1" applyBorder="1"/>
    <xf numFmtId="0" fontId="36" fillId="2" borderId="2" xfId="0" applyFont="1" applyFill="1" applyBorder="1" applyAlignment="1">
      <alignment vertical="center"/>
    </xf>
    <xf numFmtId="0" fontId="36" fillId="2" borderId="23" xfId="0" applyFont="1" applyFill="1" applyBorder="1" applyAlignment="1">
      <alignment vertical="center"/>
    </xf>
    <xf numFmtId="0" fontId="36" fillId="2" borderId="30" xfId="0" applyFont="1" applyFill="1" applyBorder="1" applyAlignment="1">
      <alignment vertical="center"/>
    </xf>
    <xf numFmtId="0" fontId="36" fillId="2" borderId="31" xfId="0" applyFont="1" applyFill="1" applyBorder="1" applyAlignment="1">
      <alignment vertical="center"/>
    </xf>
    <xf numFmtId="0" fontId="36" fillId="2" borderId="24" xfId="0" applyFont="1" applyFill="1" applyBorder="1" applyAlignment="1">
      <alignment vertical="center"/>
    </xf>
    <xf numFmtId="0" fontId="0" fillId="2" borderId="2" xfId="0" applyFill="1" applyBorder="1" applyAlignment="1">
      <alignment horizontal="center"/>
    </xf>
    <xf numFmtId="0" fontId="36" fillId="2" borderId="29" xfId="0" applyFont="1" applyFill="1" applyBorder="1" applyAlignment="1">
      <alignment horizontal="center" vertical="center"/>
    </xf>
    <xf numFmtId="0" fontId="36" fillId="2" borderId="25" xfId="0" applyFont="1" applyFill="1" applyBorder="1" applyAlignment="1">
      <alignment horizontal="center" vertical="center"/>
    </xf>
    <xf numFmtId="165" fontId="36" fillId="2" borderId="8" xfId="0" applyNumberFormat="1" applyFont="1" applyFill="1" applyBorder="1" applyAlignment="1">
      <alignment horizontal="center" vertical="center"/>
    </xf>
    <xf numFmtId="164" fontId="36" fillId="2" borderId="25" xfId="0" applyNumberFormat="1" applyFont="1" applyFill="1" applyBorder="1" applyAlignment="1">
      <alignment horizontal="center" vertical="center"/>
    </xf>
    <xf numFmtId="0" fontId="36" fillId="2" borderId="6" xfId="0" applyFont="1" applyFill="1" applyBorder="1" applyAlignment="1">
      <alignment horizontal="center" vertical="center"/>
    </xf>
    <xf numFmtId="165" fontId="36" fillId="2" borderId="6" xfId="0" applyNumberFormat="1" applyFont="1" applyFill="1" applyBorder="1" applyAlignment="1">
      <alignment horizontal="center" vertical="center"/>
    </xf>
    <xf numFmtId="164" fontId="36" fillId="2" borderId="6" xfId="0" applyNumberFormat="1" applyFont="1" applyFill="1" applyBorder="1" applyAlignment="1">
      <alignment horizontal="center" vertical="center"/>
    </xf>
    <xf numFmtId="0" fontId="33" fillId="14" borderId="21" xfId="1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9" fontId="36" fillId="2" borderId="6" xfId="13" applyFont="1" applyFill="1" applyBorder="1" applyAlignment="1">
      <alignment vertical="center"/>
    </xf>
    <xf numFmtId="0" fontId="33" fillId="10" borderId="27" xfId="0" applyFont="1" applyFill="1" applyBorder="1" applyAlignment="1">
      <alignment horizontal="center" vertical="center" wrapText="1"/>
    </xf>
    <xf numFmtId="0" fontId="36" fillId="2" borderId="23" xfId="0" applyFont="1" applyFill="1" applyBorder="1" applyAlignment="1">
      <alignment horizontal="center" vertical="center"/>
    </xf>
    <xf numFmtId="9" fontId="36" fillId="2" borderId="6" xfId="13" applyFont="1" applyFill="1" applyBorder="1" applyAlignment="1">
      <alignment horizontal="center" vertical="center"/>
    </xf>
    <xf numFmtId="0" fontId="0" fillId="2" borderId="34" xfId="0" applyFill="1" applyBorder="1"/>
    <xf numFmtId="0" fontId="40" fillId="12" borderId="34" xfId="10" applyFont="1" applyFill="1" applyBorder="1" applyAlignment="1">
      <alignment horizontal="center" vertical="center" wrapText="1"/>
    </xf>
    <xf numFmtId="0" fontId="33" fillId="10" borderId="35" xfId="10" applyFont="1" applyFill="1" applyBorder="1" applyAlignment="1">
      <alignment horizontal="center" vertical="center" wrapText="1"/>
    </xf>
    <xf numFmtId="0" fontId="33" fillId="10" borderId="32" xfId="10" applyFont="1" applyFill="1" applyBorder="1" applyAlignment="1">
      <alignment horizontal="center" vertical="center" wrapText="1"/>
    </xf>
    <xf numFmtId="0" fontId="42" fillId="2" borderId="2" xfId="1" applyFont="1" applyFill="1"/>
    <xf numFmtId="0" fontId="38" fillId="2" borderId="2" xfId="1" applyFont="1" applyFill="1"/>
    <xf numFmtId="0" fontId="43" fillId="2" borderId="2" xfId="1" applyFont="1" applyFill="1" applyAlignment="1">
      <alignment horizontal="center" vertical="center"/>
    </xf>
    <xf numFmtId="0" fontId="45" fillId="2" borderId="2" xfId="1" applyFont="1" applyFill="1"/>
    <xf numFmtId="0" fontId="46" fillId="2" borderId="2" xfId="1" applyFont="1" applyFill="1"/>
    <xf numFmtId="0" fontId="47" fillId="2" borderId="2" xfId="1" applyFont="1" applyFill="1"/>
    <xf numFmtId="0" fontId="48" fillId="2" borderId="2" xfId="1" applyFont="1" applyFill="1"/>
    <xf numFmtId="0" fontId="49" fillId="2" borderId="2" xfId="3" applyFont="1" applyFill="1" applyAlignment="1"/>
    <xf numFmtId="0" fontId="38" fillId="2" borderId="41" xfId="1" applyFont="1" applyFill="1" applyBorder="1"/>
    <xf numFmtId="0" fontId="45" fillId="2" borderId="42" xfId="1" applyFont="1" applyFill="1" applyBorder="1"/>
    <xf numFmtId="0" fontId="42" fillId="2" borderId="43" xfId="1" applyFont="1" applyFill="1" applyBorder="1"/>
    <xf numFmtId="0" fontId="45" fillId="2" borderId="41" xfId="1" applyFont="1" applyFill="1" applyBorder="1" applyAlignment="1">
      <alignment horizontal="left"/>
    </xf>
    <xf numFmtId="0" fontId="42" fillId="2" borderId="41" xfId="1" applyFont="1" applyFill="1" applyBorder="1" applyAlignment="1">
      <alignment horizontal="left"/>
    </xf>
    <xf numFmtId="0" fontId="42" fillId="2" borderId="43" xfId="1" applyFont="1" applyFill="1" applyBorder="1" applyAlignment="1">
      <alignment horizontal="left"/>
    </xf>
    <xf numFmtId="0" fontId="50" fillId="2" borderId="2" xfId="1" applyFont="1" applyFill="1"/>
    <xf numFmtId="0" fontId="5" fillId="2" borderId="2" xfId="1" applyFill="1"/>
    <xf numFmtId="0" fontId="43" fillId="2" borderId="2" xfId="1" applyFont="1" applyFill="1" applyAlignment="1">
      <alignment vertical="center"/>
    </xf>
    <xf numFmtId="0" fontId="41" fillId="2" borderId="2" xfId="1" applyFont="1" applyFill="1" applyAlignment="1">
      <alignment vertical="center"/>
    </xf>
    <xf numFmtId="0" fontId="36" fillId="2" borderId="44" xfId="0" applyFont="1" applyFill="1" applyBorder="1" applyAlignment="1">
      <alignment horizontal="center" vertical="center"/>
    </xf>
    <xf numFmtId="0" fontId="36" fillId="2" borderId="45" xfId="0" applyFont="1" applyFill="1" applyBorder="1" applyAlignment="1">
      <alignment vertical="center"/>
    </xf>
    <xf numFmtId="0" fontId="36" fillId="2" borderId="2" xfId="0" applyFont="1" applyFill="1" applyBorder="1" applyAlignment="1">
      <alignment horizontal="center" vertical="center"/>
    </xf>
    <xf numFmtId="0" fontId="36" fillId="2" borderId="46" xfId="0" applyFont="1" applyFill="1" applyBorder="1" applyAlignment="1">
      <alignment vertical="center"/>
    </xf>
    <xf numFmtId="0" fontId="36" fillId="2" borderId="47" xfId="0" applyFont="1" applyFill="1" applyBorder="1" applyAlignment="1">
      <alignment horizontal="center" vertical="center"/>
    </xf>
    <xf numFmtId="0" fontId="36" fillId="2" borderId="48" xfId="0" applyFont="1" applyFill="1" applyBorder="1" applyAlignment="1">
      <alignment vertical="center"/>
    </xf>
    <xf numFmtId="0" fontId="36" fillId="2" borderId="49" xfId="0" applyFont="1" applyFill="1" applyBorder="1" applyAlignment="1">
      <alignment vertical="center"/>
    </xf>
    <xf numFmtId="0" fontId="36" fillId="2" borderId="50" xfId="0" applyFont="1" applyFill="1" applyBorder="1" applyAlignment="1">
      <alignment vertical="center"/>
    </xf>
    <xf numFmtId="0" fontId="36" fillId="2" borderId="51" xfId="0" applyFont="1" applyFill="1" applyBorder="1" applyAlignment="1">
      <alignment vertical="center"/>
    </xf>
    <xf numFmtId="0" fontId="44" fillId="2" borderId="2" xfId="1" applyFont="1" applyFill="1" applyAlignment="1">
      <alignment horizontal="left"/>
    </xf>
    <xf numFmtId="0" fontId="44" fillId="2" borderId="40" xfId="1" applyFont="1" applyFill="1" applyBorder="1" applyAlignment="1">
      <alignment horizontal="left"/>
    </xf>
    <xf numFmtId="0" fontId="10" fillId="2" borderId="52" xfId="0" applyFont="1" applyFill="1" applyBorder="1"/>
    <xf numFmtId="0" fontId="10" fillId="2" borderId="2" xfId="0" applyFont="1" applyFill="1" applyBorder="1"/>
    <xf numFmtId="0" fontId="22" fillId="8" borderId="21" xfId="0" applyFont="1" applyFill="1" applyBorder="1" applyAlignment="1">
      <alignment horizontal="center" vertical="center" wrapText="1"/>
    </xf>
    <xf numFmtId="0" fontId="52" fillId="7" borderId="7" xfId="0" applyFont="1" applyFill="1" applyBorder="1" applyAlignment="1">
      <alignment horizontal="center" vertical="center" wrapText="1"/>
    </xf>
    <xf numFmtId="0" fontId="21" fillId="3" borderId="2" xfId="4" applyFont="1" applyFill="1" applyAlignment="1">
      <alignment horizontal="center" vertical="center" wrapText="1"/>
    </xf>
    <xf numFmtId="0" fontId="29" fillId="7" borderId="5" xfId="1" applyFont="1" applyFill="1" applyBorder="1" applyAlignment="1">
      <alignment horizontal="center"/>
    </xf>
    <xf numFmtId="0" fontId="12" fillId="5" borderId="2" xfId="2" applyFont="1" applyFill="1" applyAlignment="1">
      <alignment horizontal="center" vertical="center"/>
    </xf>
    <xf numFmtId="0" fontId="24" fillId="4" borderId="3" xfId="3" applyFont="1" applyFill="1" applyBorder="1" applyAlignment="1">
      <alignment horizontal="center" vertical="center" wrapText="1"/>
    </xf>
    <xf numFmtId="0" fontId="24" fillId="4" borderId="4" xfId="3" applyFont="1" applyFill="1" applyBorder="1" applyAlignment="1">
      <alignment horizontal="center" vertical="center" wrapText="1"/>
    </xf>
    <xf numFmtId="0" fontId="29" fillId="7" borderId="2" xfId="1" applyFont="1" applyFill="1" applyAlignment="1">
      <alignment horizontal="center"/>
    </xf>
    <xf numFmtId="0" fontId="35" fillId="6" borderId="9" xfId="2" applyFont="1" applyFill="1" applyBorder="1" applyAlignment="1">
      <alignment horizontal="center" vertical="center" wrapText="1"/>
    </xf>
    <xf numFmtId="0" fontId="35" fillId="6" borderId="10" xfId="2" applyFont="1" applyFill="1" applyBorder="1" applyAlignment="1">
      <alignment horizontal="center" vertical="center" wrapText="1"/>
    </xf>
    <xf numFmtId="0" fontId="35" fillId="6" borderId="11" xfId="2" applyFont="1" applyFill="1" applyBorder="1" applyAlignment="1">
      <alignment horizontal="center" vertical="center" wrapText="1"/>
    </xf>
    <xf numFmtId="0" fontId="39" fillId="13" borderId="39" xfId="0" applyFont="1" applyFill="1" applyBorder="1" applyAlignment="1">
      <alignment horizontal="center" vertical="center"/>
    </xf>
    <xf numFmtId="0" fontId="39" fillId="13" borderId="22" xfId="0" applyFont="1" applyFill="1" applyBorder="1" applyAlignment="1">
      <alignment horizontal="center" vertical="center"/>
    </xf>
    <xf numFmtId="0" fontId="39" fillId="13" borderId="36" xfId="0" applyFont="1" applyFill="1" applyBorder="1" applyAlignment="1">
      <alignment horizontal="center" vertical="center"/>
    </xf>
    <xf numFmtId="0" fontId="33" fillId="10" borderId="28" xfId="10" applyFont="1" applyFill="1" applyBorder="1" applyAlignment="1">
      <alignment horizontal="center" vertical="center" wrapText="1"/>
    </xf>
    <xf numFmtId="0" fontId="33" fillId="10" borderId="26" xfId="10" applyFont="1" applyFill="1" applyBorder="1" applyAlignment="1">
      <alignment horizontal="center" vertical="center" wrapText="1"/>
    </xf>
    <xf numFmtId="0" fontId="33" fillId="10" borderId="37" xfId="10" applyFont="1" applyFill="1" applyBorder="1" applyAlignment="1">
      <alignment horizontal="center" vertical="center" wrapText="1"/>
    </xf>
    <xf numFmtId="0" fontId="33" fillId="10" borderId="38" xfId="10" applyFont="1" applyFill="1" applyBorder="1" applyAlignment="1">
      <alignment horizontal="center" vertical="center" wrapText="1"/>
    </xf>
    <xf numFmtId="0" fontId="39" fillId="13" borderId="33" xfId="0" applyFont="1" applyFill="1" applyBorder="1" applyAlignment="1">
      <alignment horizontal="center" vertical="center"/>
    </xf>
    <xf numFmtId="0" fontId="41" fillId="13" borderId="2" xfId="1" applyFont="1" applyFill="1" applyAlignment="1">
      <alignment horizontal="center" vertical="center" wrapText="1"/>
    </xf>
    <xf numFmtId="0" fontId="43" fillId="11" borderId="2" xfId="1" applyFont="1" applyFill="1" applyAlignment="1">
      <alignment horizontal="center" vertical="center"/>
    </xf>
    <xf numFmtId="0" fontId="44" fillId="2" borderId="2" xfId="1" applyFont="1" applyFill="1" applyAlignment="1">
      <alignment horizontal="left"/>
    </xf>
    <xf numFmtId="0" fontId="51" fillId="0" borderId="2" xfId="12" applyFont="1" applyFill="1" applyBorder="1"/>
    <xf numFmtId="0" fontId="42" fillId="2" borderId="2" xfId="1" applyFont="1" applyFill="1" applyBorder="1" applyAlignment="1">
      <alignment horizontal="left"/>
    </xf>
    <xf numFmtId="0" fontId="51" fillId="2" borderId="40" xfId="12" applyFont="1" applyFill="1" applyBorder="1" applyAlignment="1">
      <alignment horizontal="left"/>
    </xf>
    <xf numFmtId="0" fontId="51" fillId="2" borderId="2" xfId="12" applyFont="1" applyFill="1" applyBorder="1" applyAlignment="1">
      <alignment horizontal="left"/>
    </xf>
  </cellXfs>
  <cellStyles count="15">
    <cellStyle name="Hiperlink" xfId="12" builtinId="8"/>
    <cellStyle name="Hiperlink 2" xfId="7" xr:uid="{26EFC141-0D65-49E4-ABE3-F6D5A371EDA4}"/>
    <cellStyle name="Hiperlink 3" xfId="3" xr:uid="{A24297FD-1EC5-4F89-9455-8F8E1B819A53}"/>
    <cellStyle name="Moeda" xfId="11" builtinId="4"/>
    <cellStyle name="Normal" xfId="0" builtinId="0"/>
    <cellStyle name="Normal 2" xfId="5" xr:uid="{983A5D9B-4EE9-4770-B902-BF967A3C628A}"/>
    <cellStyle name="Normal 2 2" xfId="6" xr:uid="{8B959807-80AC-4430-9D70-905DD0360F78}"/>
    <cellStyle name="Normal 2 3" xfId="8" xr:uid="{F2A8300A-E592-47F6-B2DA-0BCC7E9F6C2E}"/>
    <cellStyle name="Normal 3" xfId="9" xr:uid="{A48A2072-1BBF-4101-A954-1D70933D3569}"/>
    <cellStyle name="Normal 4" xfId="4" xr:uid="{02BC63F9-6A92-42CA-93B2-5692AFFC94ED}"/>
    <cellStyle name="Normal 4 2" xfId="14" xr:uid="{758901AE-00D0-4F56-ADAF-1FD629D573B4}"/>
    <cellStyle name="Normal 5" xfId="2" xr:uid="{198CE69F-13E5-45BE-A72C-1EE4E8EF2D89}"/>
    <cellStyle name="Normal 6" xfId="1" xr:uid="{507FEAE7-A625-4878-8FA8-BCCA7D8112C1}"/>
    <cellStyle name="Normal 7" xfId="10" xr:uid="{AAB721F1-E13A-45E4-9581-FDEAA1A20D01}"/>
    <cellStyle name="Porcentagem" xfId="13" builtinId="5"/>
  </cellStyles>
  <dxfs count="0"/>
  <tableStyles count="0" defaultTableStyle="TableStyleMedium2" defaultPivotStyle="PivotStyleLight16"/>
  <colors>
    <mruColors>
      <color rgb="FF96CE00"/>
      <color rgb="FFF0F4EF"/>
      <color rgb="FF13164E"/>
      <color rgb="FFFF86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101601</xdr:rowOff>
    </xdr:from>
    <xdr:to>
      <xdr:col>2</xdr:col>
      <xdr:colOff>450850</xdr:colOff>
      <xdr:row>0</xdr:row>
      <xdr:rowOff>513871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C844019-0C0C-E3B4-4DAE-535938FC0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0" y="101601"/>
          <a:ext cx="1181100" cy="412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76200</xdr:rowOff>
    </xdr:from>
    <xdr:to>
      <xdr:col>1</xdr:col>
      <xdr:colOff>1390650</xdr:colOff>
      <xdr:row>0</xdr:row>
      <xdr:rowOff>488470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5151C3-4AFD-47ED-BABB-25A401FCB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550" y="76200"/>
          <a:ext cx="1181100" cy="4122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1466850</xdr:colOff>
      <xdr:row>0</xdr:row>
      <xdr:rowOff>507520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BEA47FE-C62C-4AE7-BA61-793346108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0" y="95250"/>
          <a:ext cx="1181100" cy="4122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0</xdr:row>
      <xdr:rowOff>69850</xdr:rowOff>
    </xdr:from>
    <xdr:to>
      <xdr:col>1</xdr:col>
      <xdr:colOff>1460500</xdr:colOff>
      <xdr:row>0</xdr:row>
      <xdr:rowOff>482120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DDB2F5B-9A6D-4985-861D-E96AF83EF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69850"/>
          <a:ext cx="1181100" cy="4122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298450</xdr:colOff>
      <xdr:row>0</xdr:row>
      <xdr:rowOff>101600</xdr:rowOff>
    </xdr:from>
    <xdr:to>
      <xdr:col>2</xdr:col>
      <xdr:colOff>514350</xdr:colOff>
      <xdr:row>0</xdr:row>
      <xdr:rowOff>513870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4066F3A-4A9B-4AD1-ACF1-2D39C0E9D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450" y="101600"/>
          <a:ext cx="1181100" cy="41227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</xdr:row>
      <xdr:rowOff>114300</xdr:rowOff>
    </xdr:from>
    <xdr:to>
      <xdr:col>3</xdr:col>
      <xdr:colOff>142946</xdr:colOff>
      <xdr:row>16</xdr:row>
      <xdr:rowOff>135600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1D307E2-CC7D-642F-63AF-263C431B0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12850"/>
          <a:ext cx="2193996" cy="211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30</xdr:row>
      <xdr:rowOff>88900</xdr:rowOff>
    </xdr:from>
    <xdr:to>
      <xdr:col>3</xdr:col>
      <xdr:colOff>153360</xdr:colOff>
      <xdr:row>42</xdr:row>
      <xdr:rowOff>110200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AD161B7F-1AC0-2BAE-1021-92CA80048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5759450"/>
          <a:ext cx="2198059" cy="211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10300</xdr:colOff>
      <xdr:row>17</xdr:row>
      <xdr:rowOff>105550</xdr:rowOff>
    </xdr:from>
    <xdr:to>
      <xdr:col>3</xdr:col>
      <xdr:colOff>148836</xdr:colOff>
      <xdr:row>29</xdr:row>
      <xdr:rowOff>126850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EB37E288-8237-0708-AB6A-6FFBED4C6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0" y="3490100"/>
          <a:ext cx="2202286" cy="211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12701</xdr:colOff>
      <xdr:row>43</xdr:row>
      <xdr:rowOff>120650</xdr:rowOff>
    </xdr:from>
    <xdr:to>
      <xdr:col>3</xdr:col>
      <xdr:colOff>147010</xdr:colOff>
      <xdr:row>55</xdr:row>
      <xdr:rowOff>141950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C232CD39-BA4B-8B2A-C2C7-B6310F510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1" y="8077200"/>
          <a:ext cx="2198059" cy="211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t.whatsapp.com/FJYXPaRJQaVJLY0sDx78G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mkt.convenia.com.br/planilha-como-calcular-turnover?utm_source=material&amp;utm_medium=material&amp;utm_campaign=controle-de-vagas" TargetMode="External"/><Relationship Id="rId2" Type="http://schemas.openxmlformats.org/officeDocument/2006/relationships/hyperlink" Target="https://mkt.convenia.com.br/lp-planilha-controle-de-aso?utm_source=material&amp;utm_medium=material&amp;utm_campaign=controle-de-vagas" TargetMode="External"/><Relationship Id="rId1" Type="http://schemas.openxmlformats.org/officeDocument/2006/relationships/hyperlink" Target="https://mkt.convenia.com.br/lp-planilha-checklist-de-admissao-e-desligamento?utm_source=material&amp;utm_medium=material&amp;utm_campaign=controle-de-vagas" TargetMode="External"/><Relationship Id="rId5" Type="http://schemas.openxmlformats.org/officeDocument/2006/relationships/drawing" Target="../drawings/drawing5.xml"/><Relationship Id="rId4" Type="http://schemas.openxmlformats.org/officeDocument/2006/relationships/hyperlink" Target="https://marketing.convenia.com.br/chatgpt-convenia-rh-dp?utm_source=material&amp;utm_medium=material&amp;utm_campaign=controle-de-vag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showGridLines="0" tabSelected="1" workbookViewId="0"/>
  </sheetViews>
  <sheetFormatPr defaultColWidth="0" defaultRowHeight="15" customHeight="1" zeroHeight="1" x14ac:dyDescent="0.3"/>
  <cols>
    <col min="1" max="1" width="1.6640625" style="1" customWidth="1"/>
    <col min="2" max="8" width="12.58203125" style="1" customWidth="1"/>
    <col min="9" max="9" width="6.9140625" style="1" customWidth="1"/>
    <col min="10" max="10" width="19.1640625" style="1" customWidth="1"/>
    <col min="11" max="11" width="6.9140625" style="1" customWidth="1"/>
    <col min="12" max="12" width="1.58203125" style="1" customWidth="1"/>
    <col min="13" max="22" width="8.6640625" style="1" hidden="1" customWidth="1"/>
    <col min="23" max="16384" width="12.6640625" style="1" hidden="1"/>
  </cols>
  <sheetData>
    <row r="1" spans="2:12" ht="46.5" customHeight="1" x14ac:dyDescent="0.3">
      <c r="B1" s="151" t="s">
        <v>8</v>
      </c>
      <c r="C1" s="151"/>
      <c r="D1" s="151"/>
      <c r="E1" s="151"/>
      <c r="F1" s="151"/>
      <c r="G1" s="151"/>
      <c r="H1" s="151"/>
      <c r="I1" s="151"/>
      <c r="J1" s="151"/>
      <c r="K1" s="151"/>
      <c r="L1" s="3"/>
    </row>
    <row r="2" spans="2:12" ht="10" customHeight="1" x14ac:dyDescent="0.3">
      <c r="B2" s="4"/>
      <c r="C2" s="5"/>
      <c r="D2" s="5"/>
      <c r="E2" s="5"/>
      <c r="F2" s="5"/>
      <c r="G2" s="5"/>
      <c r="H2" s="5"/>
      <c r="I2" s="6"/>
      <c r="J2" s="6"/>
      <c r="K2" s="6"/>
      <c r="L2" s="6"/>
    </row>
    <row r="3" spans="2:12" ht="15" customHeight="1" x14ac:dyDescent="0.35">
      <c r="B3" s="7" t="s">
        <v>5</v>
      </c>
      <c r="C3" s="8"/>
      <c r="D3" s="9"/>
      <c r="E3" s="9"/>
      <c r="F3" s="9"/>
      <c r="G3" s="9"/>
      <c r="H3" s="9"/>
      <c r="I3" s="10"/>
      <c r="J3" s="10"/>
      <c r="K3" s="10"/>
      <c r="L3" s="11"/>
    </row>
    <row r="4" spans="2:12" ht="15" customHeight="1" x14ac:dyDescent="0.3">
      <c r="B4" s="9" t="s">
        <v>6</v>
      </c>
      <c r="C4" s="9"/>
      <c r="D4" s="9"/>
      <c r="E4" s="9"/>
      <c r="F4" s="9"/>
      <c r="G4" s="9"/>
      <c r="H4" s="9"/>
      <c r="I4" s="149" t="s">
        <v>13</v>
      </c>
      <c r="J4" s="149"/>
      <c r="K4" s="149"/>
      <c r="L4" s="11"/>
    </row>
    <row r="5" spans="2:12" ht="15" customHeight="1" x14ac:dyDescent="0.3">
      <c r="B5" s="9"/>
      <c r="C5" s="9"/>
      <c r="D5" s="9"/>
      <c r="E5" s="9"/>
      <c r="F5" s="9"/>
      <c r="G5" s="9"/>
      <c r="H5" s="9"/>
      <c r="I5" s="149"/>
      <c r="J5" s="149"/>
      <c r="K5" s="149"/>
      <c r="L5" s="11"/>
    </row>
    <row r="6" spans="2:12" ht="15" customHeight="1" x14ac:dyDescent="0.3">
      <c r="B6" s="9" t="s">
        <v>9</v>
      </c>
      <c r="C6" s="9"/>
      <c r="D6" s="9"/>
      <c r="E6" s="9"/>
      <c r="F6" s="9"/>
      <c r="G6" s="9"/>
      <c r="H6" s="9"/>
      <c r="I6" s="149"/>
      <c r="J6" s="149"/>
      <c r="K6" s="149"/>
      <c r="L6" s="11"/>
    </row>
    <row r="7" spans="2:12" ht="15" customHeight="1" x14ac:dyDescent="0.3">
      <c r="B7" s="9" t="s">
        <v>10</v>
      </c>
      <c r="C7" s="9"/>
      <c r="D7" s="9"/>
      <c r="E7" s="9"/>
      <c r="F7" s="9"/>
      <c r="G7" s="9"/>
      <c r="H7" s="9"/>
      <c r="I7" s="149"/>
      <c r="J7" s="149"/>
      <c r="K7" s="149"/>
      <c r="L7" s="11"/>
    </row>
    <row r="8" spans="2:12" ht="15" customHeight="1" x14ac:dyDescent="0.3">
      <c r="B8" s="9" t="s">
        <v>12</v>
      </c>
      <c r="C8" s="9"/>
      <c r="D8" s="9"/>
      <c r="E8" s="9"/>
      <c r="F8" s="9"/>
      <c r="G8" s="9"/>
      <c r="H8" s="9"/>
      <c r="I8" s="149"/>
      <c r="J8" s="149"/>
      <c r="K8" s="149"/>
      <c r="L8" s="11"/>
    </row>
    <row r="9" spans="2:12" ht="15" customHeight="1" x14ac:dyDescent="0.3">
      <c r="B9" s="9" t="s">
        <v>11</v>
      </c>
      <c r="C9" s="9"/>
      <c r="D9" s="9"/>
      <c r="E9" s="9"/>
      <c r="F9" s="9"/>
      <c r="G9" s="9"/>
      <c r="H9" s="9"/>
      <c r="I9" s="149"/>
      <c r="J9" s="149"/>
      <c r="K9" s="149"/>
      <c r="L9" s="11"/>
    </row>
    <row r="10" spans="2:12" ht="15" customHeight="1" thickBot="1" x14ac:dyDescent="0.35">
      <c r="B10" s="9"/>
      <c r="C10" s="9"/>
      <c r="D10" s="9"/>
      <c r="E10" s="9"/>
      <c r="F10" s="9"/>
      <c r="G10" s="9"/>
      <c r="H10" s="9"/>
      <c r="I10" s="149"/>
      <c r="J10" s="149"/>
      <c r="K10" s="149"/>
      <c r="L10" s="11"/>
    </row>
    <row r="11" spans="2:12" ht="15" customHeight="1" x14ac:dyDescent="0.3">
      <c r="B11" s="14" t="s">
        <v>58</v>
      </c>
      <c r="C11" s="20"/>
      <c r="D11" s="20"/>
      <c r="E11" s="20"/>
      <c r="F11" s="20"/>
      <c r="G11" s="20"/>
      <c r="H11" s="13"/>
      <c r="I11" s="150"/>
      <c r="J11" s="152" t="s">
        <v>7</v>
      </c>
      <c r="K11" s="19"/>
      <c r="L11" s="11"/>
    </row>
    <row r="12" spans="2:12" ht="15" customHeight="1" thickBot="1" x14ac:dyDescent="0.35">
      <c r="B12" s="12" t="s">
        <v>135</v>
      </c>
      <c r="C12" s="13"/>
      <c r="D12" s="13"/>
      <c r="E12" s="13"/>
      <c r="F12" s="13"/>
      <c r="G12" s="13"/>
      <c r="H12" s="13"/>
      <c r="I12" s="150"/>
      <c r="J12" s="153"/>
      <c r="K12" s="19"/>
      <c r="L12" s="11"/>
    </row>
    <row r="13" spans="2:12" ht="15" customHeight="1" x14ac:dyDescent="0.3">
      <c r="B13" s="14" t="s">
        <v>136</v>
      </c>
      <c r="C13" s="20"/>
      <c r="D13" s="20"/>
      <c r="E13" s="20"/>
      <c r="F13" s="20"/>
      <c r="G13" s="20"/>
      <c r="H13" s="13"/>
      <c r="I13" s="154"/>
      <c r="J13" s="154"/>
      <c r="K13" s="154"/>
      <c r="L13" s="11"/>
    </row>
    <row r="14" spans="2:12" ht="15" customHeight="1" x14ac:dyDescent="0.3">
      <c r="B14" s="16" t="s">
        <v>127</v>
      </c>
      <c r="C14" s="13"/>
      <c r="D14" s="13"/>
      <c r="E14" s="13"/>
      <c r="F14" s="13"/>
      <c r="G14" s="13"/>
      <c r="H14" s="13"/>
      <c r="I14" s="4"/>
      <c r="J14" s="4"/>
      <c r="K14" s="15"/>
      <c r="L14" s="11"/>
    </row>
    <row r="15" spans="2:12" ht="15" customHeight="1" x14ac:dyDescent="0.3">
      <c r="B15" s="21" t="s">
        <v>137</v>
      </c>
      <c r="C15" s="13"/>
      <c r="D15" s="13"/>
      <c r="E15" s="13"/>
      <c r="F15" s="13"/>
      <c r="G15" s="13"/>
      <c r="H15" s="13"/>
      <c r="I15" s="4"/>
      <c r="J15" s="4"/>
      <c r="K15" s="15"/>
      <c r="L15" s="11"/>
    </row>
    <row r="16" spans="2:12" ht="15" customHeight="1" x14ac:dyDescent="0.3">
      <c r="B16" s="18" t="s">
        <v>14</v>
      </c>
      <c r="C16" s="13"/>
      <c r="D16" s="13"/>
      <c r="E16" s="13"/>
      <c r="F16" s="13"/>
      <c r="G16" s="13"/>
      <c r="H16" s="13"/>
      <c r="I16" s="4"/>
      <c r="J16" s="4"/>
      <c r="K16" s="15"/>
      <c r="L16" s="11"/>
    </row>
    <row r="17" spans="2:12" ht="15" customHeight="1" x14ac:dyDescent="0.3">
      <c r="B17" s="17" t="s">
        <v>15</v>
      </c>
      <c r="C17" s="13"/>
      <c r="D17" s="13"/>
      <c r="E17" s="13"/>
      <c r="F17" s="13"/>
      <c r="G17" s="13"/>
      <c r="H17" s="13"/>
      <c r="I17" s="4"/>
      <c r="J17" s="4"/>
      <c r="K17" s="15"/>
      <c r="L17" s="11"/>
    </row>
    <row r="18" spans="2:12" ht="15" customHeight="1" x14ac:dyDescent="0.3">
      <c r="I18" s="4"/>
      <c r="J18" s="4"/>
      <c r="K18" s="4"/>
      <c r="L18" s="11"/>
    </row>
    <row r="19" spans="2:12" ht="15" hidden="1" customHeight="1" x14ac:dyDescent="0.3">
      <c r="I19" s="4"/>
      <c r="J19" s="4"/>
      <c r="K19" s="4"/>
      <c r="L19" s="11"/>
    </row>
    <row r="21" spans="2:12" ht="15" hidden="1" customHeight="1" x14ac:dyDescent="0.3">
      <c r="B21" s="2"/>
    </row>
  </sheetData>
  <mergeCells count="5">
    <mergeCell ref="I4:K10"/>
    <mergeCell ref="I11:I12"/>
    <mergeCell ref="B1:K1"/>
    <mergeCell ref="J11:J12"/>
    <mergeCell ref="I13:K13"/>
  </mergeCells>
  <hyperlinks>
    <hyperlink ref="J11:J12" r:id="rId1" display="Quero participar! " xr:uid="{1D93C6D0-71BF-433E-8306-E4455E6F856A}"/>
  </hyperlinks>
  <pageMargins left="0.7" right="0.7" top="0.75" bottom="0.75" header="0" footer="0"/>
  <pageSetup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D605-7E3E-4886-8DFF-5B900718C6D1}">
  <dimension ref="A1:N31"/>
  <sheetViews>
    <sheetView workbookViewId="0">
      <selection activeCell="D8" sqref="D8"/>
    </sheetView>
  </sheetViews>
  <sheetFormatPr defaultColWidth="0" defaultRowHeight="12.5" zeroHeight="1" x14ac:dyDescent="0.25"/>
  <cols>
    <col min="1" max="1" width="1.6640625" style="26" customWidth="1"/>
    <col min="2" max="5" width="28" style="23" customWidth="1"/>
    <col min="6" max="6" width="1.6640625" style="26" customWidth="1"/>
    <col min="7" max="14" width="0" style="23" hidden="1" customWidth="1"/>
    <col min="15" max="16384" width="8.6640625" style="23" hidden="1"/>
  </cols>
  <sheetData>
    <row r="1" spans="1:8" s="1" customFormat="1" ht="46.5" customHeight="1" x14ac:dyDescent="0.3">
      <c r="B1" s="151" t="s">
        <v>57</v>
      </c>
      <c r="C1" s="151"/>
      <c r="D1" s="151"/>
      <c r="E1" s="151"/>
      <c r="F1" s="25"/>
      <c r="G1" s="24"/>
      <c r="H1" s="22"/>
    </row>
    <row r="2" spans="1:8" s="1" customFormat="1" ht="10" customHeight="1" thickBot="1" x14ac:dyDescent="0.35">
      <c r="B2" s="29"/>
      <c r="C2" s="29"/>
      <c r="D2" s="29"/>
      <c r="E2" s="29"/>
      <c r="F2" s="25"/>
      <c r="G2" s="3"/>
      <c r="H2" s="22"/>
    </row>
    <row r="3" spans="1:8" s="1" customFormat="1" ht="46.5" customHeight="1" thickBot="1" x14ac:dyDescent="0.35">
      <c r="B3" s="155" t="s">
        <v>87</v>
      </c>
      <c r="C3" s="156"/>
      <c r="D3" s="156"/>
      <c r="E3" s="157"/>
      <c r="F3" s="25"/>
      <c r="G3" s="3"/>
      <c r="H3" s="22"/>
    </row>
    <row r="4" spans="1:8" s="26" customFormat="1" ht="10" customHeight="1" x14ac:dyDescent="0.25"/>
    <row r="5" spans="1:8" s="32" customFormat="1" ht="34" customHeight="1" x14ac:dyDescent="0.3">
      <c r="A5" s="31"/>
      <c r="B5" s="147" t="s">
        <v>0</v>
      </c>
      <c r="C5" s="147" t="s">
        <v>61</v>
      </c>
      <c r="D5" s="147" t="s">
        <v>54</v>
      </c>
      <c r="E5" s="147" t="s">
        <v>47</v>
      </c>
      <c r="F5" s="31"/>
    </row>
    <row r="6" spans="1:8" ht="25" x14ac:dyDescent="0.25">
      <c r="A6" s="146"/>
      <c r="B6" s="148" t="s">
        <v>138</v>
      </c>
      <c r="C6" s="148" t="s">
        <v>139</v>
      </c>
      <c r="D6" s="148" t="s">
        <v>140</v>
      </c>
      <c r="E6" s="148" t="s">
        <v>141</v>
      </c>
      <c r="F6" s="145"/>
    </row>
    <row r="7" spans="1:8" s="28" customFormat="1" ht="15" customHeight="1" x14ac:dyDescent="0.3">
      <c r="A7" s="34"/>
      <c r="B7" s="35" t="s">
        <v>18</v>
      </c>
      <c r="C7" s="35" t="s">
        <v>32</v>
      </c>
      <c r="D7" s="35" t="s">
        <v>37</v>
      </c>
      <c r="E7" s="35" t="s">
        <v>51</v>
      </c>
      <c r="F7" s="27"/>
    </row>
    <row r="8" spans="1:8" s="28" customFormat="1" ht="15" customHeight="1" x14ac:dyDescent="0.3">
      <c r="A8" s="34"/>
      <c r="B8" s="36" t="s">
        <v>19</v>
      </c>
      <c r="C8" s="36" t="s">
        <v>33</v>
      </c>
      <c r="D8" s="36" t="s">
        <v>60</v>
      </c>
      <c r="E8" s="36" t="s">
        <v>50</v>
      </c>
      <c r="F8" s="27"/>
    </row>
    <row r="9" spans="1:8" s="28" customFormat="1" ht="15" customHeight="1" x14ac:dyDescent="0.3">
      <c r="A9" s="34"/>
      <c r="B9" s="36" t="s">
        <v>20</v>
      </c>
      <c r="C9" s="36" t="s">
        <v>35</v>
      </c>
      <c r="D9" s="36" t="s">
        <v>38</v>
      </c>
      <c r="E9" s="36" t="s">
        <v>59</v>
      </c>
      <c r="F9" s="27"/>
    </row>
    <row r="10" spans="1:8" s="28" customFormat="1" ht="15" customHeight="1" x14ac:dyDescent="0.3">
      <c r="A10" s="34"/>
      <c r="B10" s="36" t="s">
        <v>21</v>
      </c>
      <c r="C10" s="36" t="s">
        <v>34</v>
      </c>
      <c r="D10" s="36" t="s">
        <v>39</v>
      </c>
      <c r="E10" s="36" t="s">
        <v>48</v>
      </c>
      <c r="F10" s="27"/>
    </row>
    <row r="11" spans="1:8" s="28" customFormat="1" ht="15" customHeight="1" x14ac:dyDescent="0.3">
      <c r="A11" s="34"/>
      <c r="B11" s="36" t="s">
        <v>22</v>
      </c>
      <c r="C11" s="36" t="s">
        <v>36</v>
      </c>
      <c r="D11" s="36" t="s">
        <v>40</v>
      </c>
      <c r="E11" s="36" t="s">
        <v>49</v>
      </c>
      <c r="F11" s="27"/>
    </row>
    <row r="12" spans="1:8" s="28" customFormat="1" ht="15" customHeight="1" x14ac:dyDescent="0.3">
      <c r="A12" s="34"/>
      <c r="B12" s="36" t="s">
        <v>23</v>
      </c>
      <c r="C12" s="36" t="s">
        <v>84</v>
      </c>
      <c r="D12" s="36" t="s">
        <v>41</v>
      </c>
      <c r="E12" s="36"/>
      <c r="F12" s="27"/>
    </row>
    <row r="13" spans="1:8" s="28" customFormat="1" ht="15" customHeight="1" x14ac:dyDescent="0.3">
      <c r="A13" s="34"/>
      <c r="B13" s="36" t="s">
        <v>24</v>
      </c>
      <c r="C13" s="36"/>
      <c r="D13" s="36" t="s">
        <v>42</v>
      </c>
      <c r="E13" s="36"/>
      <c r="F13" s="27"/>
    </row>
    <row r="14" spans="1:8" s="28" customFormat="1" ht="15" customHeight="1" x14ac:dyDescent="0.3">
      <c r="A14" s="34"/>
      <c r="B14" s="36" t="s">
        <v>25</v>
      </c>
      <c r="C14" s="36"/>
      <c r="D14" s="36" t="s">
        <v>43</v>
      </c>
      <c r="E14" s="36"/>
      <c r="F14" s="27"/>
    </row>
    <row r="15" spans="1:8" s="28" customFormat="1" ht="15" customHeight="1" x14ac:dyDescent="0.3">
      <c r="A15" s="34"/>
      <c r="B15" s="36" t="s">
        <v>26</v>
      </c>
      <c r="C15" s="36"/>
      <c r="D15" s="36" t="s">
        <v>44</v>
      </c>
      <c r="E15" s="36"/>
      <c r="F15" s="27"/>
    </row>
    <row r="16" spans="1:8" s="28" customFormat="1" ht="15" customHeight="1" x14ac:dyDescent="0.3">
      <c r="A16" s="34"/>
      <c r="B16" s="36" t="s">
        <v>27</v>
      </c>
      <c r="C16" s="36"/>
      <c r="D16" s="36" t="s">
        <v>45</v>
      </c>
      <c r="E16" s="36"/>
      <c r="F16" s="27"/>
    </row>
    <row r="17" spans="1:6" s="28" customFormat="1" ht="15" customHeight="1" x14ac:dyDescent="0.3">
      <c r="A17" s="34"/>
      <c r="B17" s="36" t="s">
        <v>28</v>
      </c>
      <c r="C17" s="36"/>
      <c r="D17" s="36" t="s">
        <v>46</v>
      </c>
      <c r="E17" s="36"/>
      <c r="F17" s="27"/>
    </row>
    <row r="18" spans="1:6" s="28" customFormat="1" ht="15" customHeight="1" x14ac:dyDescent="0.3">
      <c r="A18" s="34"/>
      <c r="B18" s="36" t="s">
        <v>52</v>
      </c>
      <c r="C18" s="36"/>
      <c r="D18" s="36"/>
      <c r="E18" s="36"/>
      <c r="F18" s="27"/>
    </row>
    <row r="19" spans="1:6" s="28" customFormat="1" ht="15" customHeight="1" x14ac:dyDescent="0.3">
      <c r="A19" s="34"/>
      <c r="B19" s="36" t="s">
        <v>17</v>
      </c>
      <c r="C19" s="36"/>
      <c r="D19" s="36"/>
      <c r="E19" s="36"/>
      <c r="F19" s="27"/>
    </row>
    <row r="20" spans="1:6" s="28" customFormat="1" ht="15" customHeight="1" x14ac:dyDescent="0.3">
      <c r="A20" s="34"/>
      <c r="B20" s="36" t="s">
        <v>29</v>
      </c>
      <c r="C20" s="36"/>
      <c r="D20" s="36"/>
      <c r="E20" s="36"/>
      <c r="F20" s="27"/>
    </row>
    <row r="21" spans="1:6" s="28" customFormat="1" ht="15" customHeight="1" x14ac:dyDescent="0.3">
      <c r="A21" s="34"/>
      <c r="B21" s="36" t="s">
        <v>30</v>
      </c>
      <c r="C21" s="36"/>
      <c r="D21" s="36"/>
      <c r="E21" s="36"/>
      <c r="F21" s="27"/>
    </row>
    <row r="22" spans="1:6" s="28" customFormat="1" ht="15" customHeight="1" x14ac:dyDescent="0.3">
      <c r="A22" s="34"/>
      <c r="B22" s="36" t="s">
        <v>31</v>
      </c>
      <c r="C22" s="36"/>
      <c r="D22" s="36"/>
      <c r="E22" s="36"/>
      <c r="F22" s="27"/>
    </row>
    <row r="23" spans="1:6" ht="15" customHeight="1" x14ac:dyDescent="0.25">
      <c r="A23" s="37"/>
      <c r="B23" s="38"/>
      <c r="C23" s="38"/>
      <c r="D23" s="38"/>
      <c r="E23" s="38"/>
    </row>
    <row r="24" spans="1:6" ht="15" customHeight="1" x14ac:dyDescent="0.25">
      <c r="A24" s="37"/>
      <c r="B24" s="38"/>
      <c r="C24" s="38"/>
      <c r="D24" s="38"/>
      <c r="E24" s="38"/>
    </row>
    <row r="25" spans="1:6" ht="15" customHeight="1" x14ac:dyDescent="0.25">
      <c r="A25" s="37"/>
      <c r="B25" s="38"/>
      <c r="C25" s="38"/>
      <c r="D25" s="38"/>
      <c r="E25" s="38"/>
    </row>
    <row r="26" spans="1:6" ht="15" customHeight="1" x14ac:dyDescent="0.25">
      <c r="A26" s="37"/>
      <c r="B26" s="38"/>
      <c r="C26" s="38"/>
      <c r="D26" s="38"/>
      <c r="E26" s="38"/>
    </row>
    <row r="27" spans="1:6" ht="15" customHeight="1" x14ac:dyDescent="0.25">
      <c r="A27" s="37"/>
      <c r="B27" s="38"/>
      <c r="C27" s="38"/>
      <c r="D27" s="38"/>
      <c r="E27" s="38"/>
    </row>
    <row r="28" spans="1:6" ht="15" customHeight="1" x14ac:dyDescent="0.25">
      <c r="A28" s="37"/>
      <c r="B28" s="38"/>
      <c r="C28" s="38"/>
      <c r="D28" s="38"/>
      <c r="E28" s="38"/>
    </row>
    <row r="29" spans="1:6" ht="15" customHeight="1" x14ac:dyDescent="0.25">
      <c r="A29" s="37"/>
      <c r="B29" s="38"/>
      <c r="C29" s="38"/>
      <c r="D29" s="38"/>
      <c r="E29" s="38"/>
    </row>
    <row r="30" spans="1:6" ht="15" customHeight="1" x14ac:dyDescent="0.25">
      <c r="B30" s="30"/>
      <c r="C30" s="30"/>
      <c r="D30" s="30"/>
      <c r="E30" s="30"/>
    </row>
    <row r="31" spans="1:6" ht="15" customHeight="1" x14ac:dyDescent="0.25">
      <c r="B31" s="30"/>
      <c r="C31" s="30"/>
      <c r="D31" s="30"/>
      <c r="E31" s="30"/>
    </row>
  </sheetData>
  <sortState xmlns:xlrd2="http://schemas.microsoft.com/office/spreadsheetml/2017/richdata2" ref="D7:D16">
    <sortCondition ref="D7:D16"/>
  </sortState>
  <mergeCells count="2">
    <mergeCell ref="B1:E1"/>
    <mergeCell ref="B3:E3"/>
  </mergeCells>
  <dataValidations count="1">
    <dataValidation allowBlank="1" showErrorMessage="1" sqref="B1:B3 F1:G3" xr:uid="{A710C755-6656-4B89-9D6E-11C23F6E6016}"/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7"/>
  <sheetViews>
    <sheetView workbookViewId="0">
      <pane xSplit="4" ySplit="4" topLeftCell="E31" activePane="bottomRight" state="frozen"/>
      <selection pane="topRight" activeCell="E1" sqref="E1"/>
      <selection pane="bottomLeft" activeCell="A5" sqref="A5"/>
      <selection pane="bottomRight" activeCell="C34" sqref="C34"/>
    </sheetView>
  </sheetViews>
  <sheetFormatPr defaultColWidth="0" defaultRowHeight="15" customHeight="1" zeroHeight="1" x14ac:dyDescent="0.3"/>
  <cols>
    <col min="1" max="1" width="1.6640625" style="40" customWidth="1"/>
    <col min="2" max="2" width="23.75" style="44" customWidth="1"/>
    <col min="3" max="3" width="22.5" style="47" customWidth="1"/>
    <col min="4" max="4" width="22.5" style="46" customWidth="1"/>
    <col min="5" max="5" width="22.5" style="47" customWidth="1"/>
    <col min="6" max="6" width="22.5" style="44" customWidth="1"/>
    <col min="7" max="9" width="15.25" style="44" customWidth="1"/>
    <col min="10" max="10" width="16.1640625" style="44" customWidth="1"/>
    <col min="11" max="11" width="30.83203125" style="106" customWidth="1"/>
    <col min="12" max="14" width="16.1640625" style="44" customWidth="1"/>
    <col min="15" max="15" width="18.5" style="49" customWidth="1"/>
    <col min="16" max="16" width="22.6640625" style="47" customWidth="1"/>
    <col min="17" max="17" width="38" style="106" customWidth="1"/>
    <col min="18" max="18" width="1.6640625" style="43" customWidth="1"/>
    <col min="19" max="24" width="12.6640625" style="44" hidden="1" customWidth="1"/>
    <col min="25" max="25" width="0" style="44" hidden="1" customWidth="1"/>
    <col min="26" max="16384" width="12.6640625" style="44" hidden="1"/>
  </cols>
  <sheetData>
    <row r="1" spans="1:21" s="50" customFormat="1" ht="46.5" customHeight="1" x14ac:dyDescent="0.3">
      <c r="B1" s="151" t="s">
        <v>16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24"/>
      <c r="S1" s="24"/>
      <c r="T1" s="24"/>
      <c r="U1" s="22"/>
    </row>
    <row r="2" spans="1:21" s="50" customFormat="1" ht="10" customHeight="1" x14ac:dyDescent="0.3">
      <c r="B2" s="51"/>
      <c r="C2" s="52"/>
      <c r="D2" s="52"/>
      <c r="E2" s="52"/>
      <c r="F2" s="51"/>
      <c r="G2" s="51"/>
      <c r="H2" s="51"/>
      <c r="I2" s="51"/>
      <c r="J2" s="51"/>
      <c r="K2" s="101"/>
      <c r="L2" s="51"/>
      <c r="M2" s="51"/>
      <c r="N2" s="51"/>
      <c r="O2" s="52"/>
      <c r="P2" s="52"/>
      <c r="Q2" s="101"/>
    </row>
    <row r="3" spans="1:21" s="57" customFormat="1" ht="49.5" customHeight="1" x14ac:dyDescent="0.3">
      <c r="A3" s="53"/>
      <c r="B3" s="54" t="s">
        <v>67</v>
      </c>
      <c r="C3" s="33" t="s">
        <v>68</v>
      </c>
      <c r="D3" s="33" t="s">
        <v>131</v>
      </c>
      <c r="E3" s="33" t="s">
        <v>73</v>
      </c>
      <c r="F3" s="54" t="s">
        <v>61</v>
      </c>
      <c r="G3" s="55" t="s">
        <v>62</v>
      </c>
      <c r="H3" s="55" t="s">
        <v>99</v>
      </c>
      <c r="I3" s="55" t="s">
        <v>63</v>
      </c>
      <c r="J3" s="54" t="s">
        <v>1</v>
      </c>
      <c r="K3" s="33" t="s">
        <v>74</v>
      </c>
      <c r="L3" s="54" t="s">
        <v>2</v>
      </c>
      <c r="M3" s="54" t="s">
        <v>3</v>
      </c>
      <c r="N3" s="54" t="s">
        <v>76</v>
      </c>
      <c r="O3" s="33" t="s">
        <v>95</v>
      </c>
      <c r="P3" s="33" t="s">
        <v>47</v>
      </c>
      <c r="Q3" s="33" t="s">
        <v>4</v>
      </c>
      <c r="R3" s="56"/>
    </row>
    <row r="4" spans="1:21" s="62" customFormat="1" ht="69" x14ac:dyDescent="0.3">
      <c r="A4" s="58"/>
      <c r="B4" s="59" t="s">
        <v>69</v>
      </c>
      <c r="C4" s="60" t="s">
        <v>129</v>
      </c>
      <c r="D4" s="60" t="s">
        <v>130</v>
      </c>
      <c r="E4" s="59" t="s">
        <v>132</v>
      </c>
      <c r="F4" s="60" t="s">
        <v>133</v>
      </c>
      <c r="G4" s="59" t="s">
        <v>70</v>
      </c>
      <c r="H4" s="59" t="s">
        <v>134</v>
      </c>
      <c r="I4" s="59" t="s">
        <v>71</v>
      </c>
      <c r="J4" s="59" t="s">
        <v>72</v>
      </c>
      <c r="K4" s="60" t="s">
        <v>53</v>
      </c>
      <c r="L4" s="59" t="s">
        <v>77</v>
      </c>
      <c r="M4" s="59" t="s">
        <v>77</v>
      </c>
      <c r="N4" s="100" t="s">
        <v>78</v>
      </c>
      <c r="O4" s="60" t="s">
        <v>96</v>
      </c>
      <c r="P4" s="60" t="s">
        <v>55</v>
      </c>
      <c r="Q4" s="60" t="s">
        <v>56</v>
      </c>
      <c r="R4" s="61"/>
    </row>
    <row r="5" spans="1:21" s="47" customFormat="1" ht="19" customHeight="1" x14ac:dyDescent="0.3">
      <c r="A5" s="63"/>
      <c r="B5" s="64" t="s">
        <v>75</v>
      </c>
      <c r="C5" s="42" t="s">
        <v>37</v>
      </c>
      <c r="D5" s="42" t="s">
        <v>128</v>
      </c>
      <c r="E5" s="42" t="s">
        <v>64</v>
      </c>
      <c r="F5" s="64" t="s">
        <v>84</v>
      </c>
      <c r="G5" s="64">
        <v>1</v>
      </c>
      <c r="H5" s="64">
        <v>1</v>
      </c>
      <c r="I5" s="64">
        <v>83</v>
      </c>
      <c r="J5" s="64" t="s">
        <v>85</v>
      </c>
      <c r="K5" s="68" t="s">
        <v>86</v>
      </c>
      <c r="L5" s="48">
        <v>45809</v>
      </c>
      <c r="M5" s="77">
        <v>45820</v>
      </c>
      <c r="N5" s="82">
        <f>M5-L5</f>
        <v>11</v>
      </c>
      <c r="O5" s="79">
        <v>400</v>
      </c>
      <c r="P5" s="42" t="s">
        <v>59</v>
      </c>
      <c r="Q5" s="68"/>
      <c r="R5" s="65"/>
    </row>
    <row r="6" spans="1:21" s="47" customFormat="1" ht="19" customHeight="1" x14ac:dyDescent="0.3">
      <c r="A6" s="63"/>
      <c r="B6" s="64" t="s">
        <v>88</v>
      </c>
      <c r="C6" s="42" t="s">
        <v>37</v>
      </c>
      <c r="D6" s="42" t="s">
        <v>23</v>
      </c>
      <c r="E6" s="42" t="s">
        <v>66</v>
      </c>
      <c r="F6" s="64" t="s">
        <v>84</v>
      </c>
      <c r="G6" s="64">
        <v>1</v>
      </c>
      <c r="H6" s="64">
        <v>1</v>
      </c>
      <c r="I6" s="64">
        <v>55</v>
      </c>
      <c r="J6" s="64" t="s">
        <v>85</v>
      </c>
      <c r="K6" s="68" t="s">
        <v>89</v>
      </c>
      <c r="L6" s="48">
        <v>45839</v>
      </c>
      <c r="M6" s="77">
        <v>45866</v>
      </c>
      <c r="N6" s="82">
        <f>M6-L6</f>
        <v>27</v>
      </c>
      <c r="O6" s="79">
        <v>1235</v>
      </c>
      <c r="P6" s="42" t="s">
        <v>59</v>
      </c>
      <c r="Q6" s="68" t="s">
        <v>90</v>
      </c>
      <c r="R6" s="65"/>
    </row>
    <row r="7" spans="1:21" s="47" customFormat="1" ht="19" customHeight="1" x14ac:dyDescent="0.3">
      <c r="A7" s="63"/>
      <c r="B7" s="64" t="s">
        <v>91</v>
      </c>
      <c r="C7" s="42" t="s">
        <v>60</v>
      </c>
      <c r="D7" s="42" t="s">
        <v>30</v>
      </c>
      <c r="E7" s="42" t="s">
        <v>65</v>
      </c>
      <c r="F7" s="64" t="s">
        <v>35</v>
      </c>
      <c r="G7" s="64">
        <v>3</v>
      </c>
      <c r="H7" s="64">
        <v>2</v>
      </c>
      <c r="I7" s="64">
        <v>152</v>
      </c>
      <c r="J7" s="64" t="s">
        <v>85</v>
      </c>
      <c r="K7" s="68" t="s">
        <v>86</v>
      </c>
      <c r="L7" s="48">
        <v>45870</v>
      </c>
      <c r="M7" s="77">
        <v>45881</v>
      </c>
      <c r="N7" s="82">
        <f t="shared" ref="N7:N70" si="0">M7-L7</f>
        <v>11</v>
      </c>
      <c r="O7" s="79">
        <v>0</v>
      </c>
      <c r="P7" s="42" t="s">
        <v>59</v>
      </c>
      <c r="Q7" s="68"/>
      <c r="R7" s="65"/>
    </row>
    <row r="8" spans="1:21" s="47" customFormat="1" ht="19" customHeight="1" x14ac:dyDescent="0.3">
      <c r="A8" s="63"/>
      <c r="B8" s="64" t="s">
        <v>94</v>
      </c>
      <c r="C8" s="42" t="s">
        <v>43</v>
      </c>
      <c r="D8" s="42" t="s">
        <v>27</v>
      </c>
      <c r="E8" s="42" t="s">
        <v>66</v>
      </c>
      <c r="F8" s="64" t="s">
        <v>34</v>
      </c>
      <c r="G8" s="64">
        <v>1</v>
      </c>
      <c r="H8" s="64">
        <v>0</v>
      </c>
      <c r="I8" s="64">
        <v>32</v>
      </c>
      <c r="J8" s="64" t="s">
        <v>85</v>
      </c>
      <c r="K8" s="68" t="s">
        <v>86</v>
      </c>
      <c r="L8" s="48">
        <v>45608</v>
      </c>
      <c r="M8" s="77">
        <v>45638</v>
      </c>
      <c r="N8" s="82">
        <f t="shared" si="0"/>
        <v>30</v>
      </c>
      <c r="O8" s="79">
        <v>3000</v>
      </c>
      <c r="P8" s="42" t="s">
        <v>51</v>
      </c>
      <c r="Q8" s="68"/>
      <c r="R8" s="65"/>
    </row>
    <row r="9" spans="1:21" s="47" customFormat="1" ht="19" customHeight="1" x14ac:dyDescent="0.3">
      <c r="A9" s="63"/>
      <c r="B9" s="64"/>
      <c r="C9" s="42"/>
      <c r="D9" s="42"/>
      <c r="E9" s="42"/>
      <c r="F9" s="64"/>
      <c r="G9" s="64"/>
      <c r="H9" s="64"/>
      <c r="I9" s="64"/>
      <c r="J9" s="64"/>
      <c r="K9" s="68"/>
      <c r="L9" s="48"/>
      <c r="M9" s="77"/>
      <c r="N9" s="82">
        <f t="shared" si="0"/>
        <v>0</v>
      </c>
      <c r="O9" s="79"/>
      <c r="P9" s="42"/>
      <c r="Q9" s="68"/>
      <c r="R9" s="65"/>
    </row>
    <row r="10" spans="1:21" s="47" customFormat="1" ht="19" customHeight="1" x14ac:dyDescent="0.3">
      <c r="A10" s="63"/>
      <c r="B10" s="64"/>
      <c r="C10" s="42"/>
      <c r="D10" s="42"/>
      <c r="E10" s="42"/>
      <c r="F10" s="64"/>
      <c r="G10" s="64"/>
      <c r="H10" s="64"/>
      <c r="I10" s="64"/>
      <c r="J10" s="64"/>
      <c r="K10" s="68"/>
      <c r="L10" s="48"/>
      <c r="M10" s="77"/>
      <c r="N10" s="82">
        <f t="shared" si="0"/>
        <v>0</v>
      </c>
      <c r="O10" s="79"/>
      <c r="P10" s="42"/>
      <c r="Q10" s="68"/>
      <c r="R10" s="65"/>
    </row>
    <row r="11" spans="1:21" s="47" customFormat="1" ht="19" customHeight="1" x14ac:dyDescent="0.3">
      <c r="A11" s="63"/>
      <c r="B11" s="64"/>
      <c r="C11" s="45"/>
      <c r="D11" s="45"/>
      <c r="E11" s="45"/>
      <c r="F11" s="64"/>
      <c r="G11" s="64"/>
      <c r="H11" s="64"/>
      <c r="I11" s="64"/>
      <c r="J11" s="64"/>
      <c r="K11" s="102"/>
      <c r="L11" s="48"/>
      <c r="M11" s="77"/>
      <c r="N11" s="82">
        <f t="shared" si="0"/>
        <v>0</v>
      </c>
      <c r="O11" s="80"/>
      <c r="P11" s="45"/>
      <c r="Q11" s="102"/>
      <c r="R11" s="65"/>
    </row>
    <row r="12" spans="1:21" s="47" customFormat="1" ht="19" customHeight="1" x14ac:dyDescent="0.3">
      <c r="A12" s="63"/>
      <c r="B12" s="64"/>
      <c r="C12" s="45"/>
      <c r="D12" s="45"/>
      <c r="E12" s="45"/>
      <c r="F12" s="64"/>
      <c r="G12" s="64"/>
      <c r="H12" s="64"/>
      <c r="I12" s="64"/>
      <c r="J12" s="64"/>
      <c r="K12" s="102"/>
      <c r="L12" s="48"/>
      <c r="M12" s="77"/>
      <c r="N12" s="82">
        <f t="shared" si="0"/>
        <v>0</v>
      </c>
      <c r="O12" s="80"/>
      <c r="P12" s="45"/>
      <c r="Q12" s="102"/>
      <c r="R12" s="65"/>
    </row>
    <row r="13" spans="1:21" s="47" customFormat="1" ht="19" customHeight="1" x14ac:dyDescent="0.3">
      <c r="A13" s="63"/>
      <c r="B13" s="64"/>
      <c r="C13" s="45"/>
      <c r="D13" s="45"/>
      <c r="E13" s="45"/>
      <c r="F13" s="64"/>
      <c r="G13" s="64"/>
      <c r="H13" s="64"/>
      <c r="I13" s="64"/>
      <c r="J13" s="64"/>
      <c r="K13" s="102"/>
      <c r="L13" s="48"/>
      <c r="M13" s="77"/>
      <c r="N13" s="82">
        <f t="shared" si="0"/>
        <v>0</v>
      </c>
      <c r="O13" s="80"/>
      <c r="P13" s="45"/>
      <c r="Q13" s="102"/>
      <c r="R13" s="65"/>
    </row>
    <row r="14" spans="1:21" s="47" customFormat="1" ht="19" customHeight="1" x14ac:dyDescent="0.3">
      <c r="A14" s="63"/>
      <c r="B14" s="64"/>
      <c r="C14" s="45"/>
      <c r="D14" s="45"/>
      <c r="E14" s="45"/>
      <c r="F14" s="64"/>
      <c r="G14" s="64"/>
      <c r="H14" s="64"/>
      <c r="I14" s="64"/>
      <c r="J14" s="64"/>
      <c r="K14" s="102"/>
      <c r="L14" s="48"/>
      <c r="M14" s="77"/>
      <c r="N14" s="82">
        <f t="shared" si="0"/>
        <v>0</v>
      </c>
      <c r="O14" s="80"/>
      <c r="P14" s="45"/>
      <c r="Q14" s="102"/>
      <c r="R14" s="65"/>
    </row>
    <row r="15" spans="1:21" s="47" customFormat="1" ht="19" customHeight="1" x14ac:dyDescent="0.3">
      <c r="A15" s="63"/>
      <c r="B15" s="64"/>
      <c r="C15" s="45"/>
      <c r="D15" s="45"/>
      <c r="E15" s="45"/>
      <c r="F15" s="64"/>
      <c r="G15" s="64"/>
      <c r="H15" s="64"/>
      <c r="I15" s="64"/>
      <c r="J15" s="64"/>
      <c r="K15" s="102"/>
      <c r="L15" s="48"/>
      <c r="M15" s="77"/>
      <c r="N15" s="82">
        <f t="shared" si="0"/>
        <v>0</v>
      </c>
      <c r="O15" s="80"/>
      <c r="P15" s="45"/>
      <c r="Q15" s="102"/>
      <c r="R15" s="65"/>
    </row>
    <row r="16" spans="1:21" s="47" customFormat="1" ht="19" customHeight="1" x14ac:dyDescent="0.3">
      <c r="A16" s="63"/>
      <c r="B16" s="64"/>
      <c r="C16" s="45"/>
      <c r="D16" s="45"/>
      <c r="E16" s="45"/>
      <c r="F16" s="64"/>
      <c r="G16" s="64"/>
      <c r="H16" s="64"/>
      <c r="I16" s="64"/>
      <c r="J16" s="64"/>
      <c r="K16" s="102"/>
      <c r="L16" s="48"/>
      <c r="M16" s="77"/>
      <c r="N16" s="82">
        <f t="shared" si="0"/>
        <v>0</v>
      </c>
      <c r="O16" s="80"/>
      <c r="P16" s="45"/>
      <c r="Q16" s="102"/>
      <c r="R16" s="65"/>
    </row>
    <row r="17" spans="1:18" s="47" customFormat="1" ht="19" customHeight="1" x14ac:dyDescent="0.3">
      <c r="A17" s="63"/>
      <c r="B17" s="64"/>
      <c r="C17" s="45"/>
      <c r="D17" s="45"/>
      <c r="E17" s="45"/>
      <c r="F17" s="64"/>
      <c r="G17" s="64"/>
      <c r="H17" s="64"/>
      <c r="I17" s="64"/>
      <c r="J17" s="64"/>
      <c r="K17" s="102"/>
      <c r="L17" s="48"/>
      <c r="M17" s="77"/>
      <c r="N17" s="82">
        <f t="shared" si="0"/>
        <v>0</v>
      </c>
      <c r="O17" s="80"/>
      <c r="P17" s="45"/>
      <c r="Q17" s="102"/>
      <c r="R17" s="65"/>
    </row>
    <row r="18" spans="1:18" s="47" customFormat="1" ht="19" customHeight="1" x14ac:dyDescent="0.3">
      <c r="A18" s="63"/>
      <c r="B18" s="64"/>
      <c r="C18" s="45"/>
      <c r="D18" s="45"/>
      <c r="E18" s="45"/>
      <c r="F18" s="64"/>
      <c r="G18" s="64"/>
      <c r="H18" s="64"/>
      <c r="I18" s="64"/>
      <c r="J18" s="64"/>
      <c r="K18" s="102"/>
      <c r="L18" s="48"/>
      <c r="M18" s="77"/>
      <c r="N18" s="82">
        <f t="shared" si="0"/>
        <v>0</v>
      </c>
      <c r="O18" s="80"/>
      <c r="P18" s="45"/>
      <c r="Q18" s="102"/>
      <c r="R18" s="65"/>
    </row>
    <row r="19" spans="1:18" s="47" customFormat="1" ht="19" customHeight="1" x14ac:dyDescent="0.3">
      <c r="A19" s="63"/>
      <c r="B19" s="64"/>
      <c r="C19" s="45"/>
      <c r="D19" s="45"/>
      <c r="E19" s="45"/>
      <c r="F19" s="64"/>
      <c r="G19" s="64"/>
      <c r="H19" s="64"/>
      <c r="I19" s="64"/>
      <c r="J19" s="64"/>
      <c r="K19" s="102"/>
      <c r="L19" s="48"/>
      <c r="M19" s="77"/>
      <c r="N19" s="82">
        <f t="shared" si="0"/>
        <v>0</v>
      </c>
      <c r="O19" s="80"/>
      <c r="P19" s="45"/>
      <c r="Q19" s="102"/>
      <c r="R19" s="65"/>
    </row>
    <row r="20" spans="1:18" s="47" customFormat="1" ht="19" customHeight="1" x14ac:dyDescent="0.3">
      <c r="A20" s="63"/>
      <c r="B20" s="64"/>
      <c r="C20" s="45"/>
      <c r="D20" s="45"/>
      <c r="E20" s="45"/>
      <c r="F20" s="64"/>
      <c r="G20" s="64"/>
      <c r="H20" s="64"/>
      <c r="I20" s="64"/>
      <c r="J20" s="64"/>
      <c r="K20" s="102"/>
      <c r="L20" s="48"/>
      <c r="M20" s="77"/>
      <c r="N20" s="82">
        <f t="shared" si="0"/>
        <v>0</v>
      </c>
      <c r="O20" s="80"/>
      <c r="P20" s="45"/>
      <c r="Q20" s="102"/>
      <c r="R20" s="65"/>
    </row>
    <row r="21" spans="1:18" s="47" customFormat="1" ht="19" customHeight="1" x14ac:dyDescent="0.3">
      <c r="A21" s="63"/>
      <c r="B21" s="64"/>
      <c r="C21" s="45"/>
      <c r="D21" s="45"/>
      <c r="E21" s="45"/>
      <c r="F21" s="64"/>
      <c r="G21" s="64"/>
      <c r="H21" s="64"/>
      <c r="I21" s="64"/>
      <c r="J21" s="64"/>
      <c r="K21" s="102"/>
      <c r="L21" s="48"/>
      <c r="M21" s="77"/>
      <c r="N21" s="82">
        <f t="shared" si="0"/>
        <v>0</v>
      </c>
      <c r="O21" s="80"/>
      <c r="P21" s="45"/>
      <c r="Q21" s="102"/>
      <c r="R21" s="65"/>
    </row>
    <row r="22" spans="1:18" s="47" customFormat="1" ht="19" customHeight="1" x14ac:dyDescent="0.3">
      <c r="A22" s="63"/>
      <c r="B22" s="64"/>
      <c r="C22" s="45"/>
      <c r="D22" s="45"/>
      <c r="E22" s="45"/>
      <c r="F22" s="64"/>
      <c r="G22" s="64"/>
      <c r="H22" s="64"/>
      <c r="I22" s="64"/>
      <c r="J22" s="64"/>
      <c r="K22" s="102"/>
      <c r="L22" s="48"/>
      <c r="M22" s="77"/>
      <c r="N22" s="82">
        <f t="shared" si="0"/>
        <v>0</v>
      </c>
      <c r="O22" s="80"/>
      <c r="P22" s="45"/>
      <c r="Q22" s="102"/>
      <c r="R22" s="65"/>
    </row>
    <row r="23" spans="1:18" s="47" customFormat="1" ht="19" customHeight="1" x14ac:dyDescent="0.3">
      <c r="A23" s="63"/>
      <c r="B23" s="64"/>
      <c r="C23" s="45"/>
      <c r="D23" s="45"/>
      <c r="E23" s="45"/>
      <c r="F23" s="64"/>
      <c r="G23" s="64"/>
      <c r="H23" s="64"/>
      <c r="I23" s="64"/>
      <c r="J23" s="64"/>
      <c r="K23" s="102"/>
      <c r="L23" s="48"/>
      <c r="M23" s="77"/>
      <c r="N23" s="82">
        <f t="shared" si="0"/>
        <v>0</v>
      </c>
      <c r="O23" s="80"/>
      <c r="P23" s="45"/>
      <c r="Q23" s="102"/>
      <c r="R23" s="65"/>
    </row>
    <row r="24" spans="1:18" s="47" customFormat="1" ht="19" customHeight="1" x14ac:dyDescent="0.3">
      <c r="A24" s="63"/>
      <c r="B24" s="64"/>
      <c r="C24" s="45"/>
      <c r="D24" s="45"/>
      <c r="E24" s="45"/>
      <c r="F24" s="64"/>
      <c r="G24" s="64"/>
      <c r="H24" s="64"/>
      <c r="I24" s="64"/>
      <c r="J24" s="64"/>
      <c r="K24" s="102"/>
      <c r="L24" s="48"/>
      <c r="M24" s="77"/>
      <c r="N24" s="82">
        <f t="shared" si="0"/>
        <v>0</v>
      </c>
      <c r="O24" s="80"/>
      <c r="P24" s="45"/>
      <c r="Q24" s="102"/>
      <c r="R24" s="65"/>
    </row>
    <row r="25" spans="1:18" s="47" customFormat="1" ht="19" customHeight="1" x14ac:dyDescent="0.3">
      <c r="A25" s="63"/>
      <c r="B25" s="64"/>
      <c r="C25" s="45"/>
      <c r="D25" s="45"/>
      <c r="E25" s="45"/>
      <c r="F25" s="64"/>
      <c r="G25" s="64"/>
      <c r="H25" s="64"/>
      <c r="I25" s="64"/>
      <c r="J25" s="64"/>
      <c r="K25" s="102"/>
      <c r="L25" s="48"/>
      <c r="M25" s="77"/>
      <c r="N25" s="82">
        <f t="shared" si="0"/>
        <v>0</v>
      </c>
      <c r="O25" s="80"/>
      <c r="P25" s="45"/>
      <c r="Q25" s="102"/>
      <c r="R25" s="65"/>
    </row>
    <row r="26" spans="1:18" s="47" customFormat="1" ht="19" customHeight="1" x14ac:dyDescent="0.3">
      <c r="A26" s="63"/>
      <c r="B26" s="64"/>
      <c r="C26" s="45"/>
      <c r="D26" s="45"/>
      <c r="E26" s="45"/>
      <c r="F26" s="64"/>
      <c r="G26" s="64"/>
      <c r="H26" s="64"/>
      <c r="I26" s="64"/>
      <c r="J26" s="64"/>
      <c r="K26" s="102"/>
      <c r="L26" s="48"/>
      <c r="M26" s="77"/>
      <c r="N26" s="82">
        <f t="shared" si="0"/>
        <v>0</v>
      </c>
      <c r="O26" s="80"/>
      <c r="P26" s="45"/>
      <c r="Q26" s="102"/>
      <c r="R26" s="65"/>
    </row>
    <row r="27" spans="1:18" s="47" customFormat="1" ht="19" customHeight="1" x14ac:dyDescent="0.3">
      <c r="A27" s="63"/>
      <c r="B27" s="64"/>
      <c r="C27" s="45"/>
      <c r="D27" s="45"/>
      <c r="E27" s="45"/>
      <c r="F27" s="64"/>
      <c r="G27" s="64"/>
      <c r="H27" s="64"/>
      <c r="I27" s="64"/>
      <c r="J27" s="64"/>
      <c r="K27" s="102"/>
      <c r="L27" s="48"/>
      <c r="M27" s="77"/>
      <c r="N27" s="82">
        <f t="shared" si="0"/>
        <v>0</v>
      </c>
      <c r="O27" s="80"/>
      <c r="P27" s="45"/>
      <c r="Q27" s="102"/>
      <c r="R27" s="65"/>
    </row>
    <row r="28" spans="1:18" s="47" customFormat="1" ht="19" customHeight="1" x14ac:dyDescent="0.3">
      <c r="A28" s="63"/>
      <c r="B28" s="64"/>
      <c r="C28" s="45"/>
      <c r="D28" s="45"/>
      <c r="E28" s="45"/>
      <c r="F28" s="64"/>
      <c r="G28" s="64"/>
      <c r="H28" s="64"/>
      <c r="I28" s="64"/>
      <c r="J28" s="64"/>
      <c r="K28" s="102"/>
      <c r="L28" s="48"/>
      <c r="M28" s="77"/>
      <c r="N28" s="82">
        <f t="shared" si="0"/>
        <v>0</v>
      </c>
      <c r="O28" s="80"/>
      <c r="P28" s="45"/>
      <c r="Q28" s="102"/>
      <c r="R28" s="65"/>
    </row>
    <row r="29" spans="1:18" s="47" customFormat="1" ht="19" customHeight="1" x14ac:dyDescent="0.3">
      <c r="A29" s="63"/>
      <c r="B29" s="64"/>
      <c r="C29" s="45"/>
      <c r="D29" s="45"/>
      <c r="E29" s="45"/>
      <c r="F29" s="64"/>
      <c r="G29" s="64"/>
      <c r="H29" s="64"/>
      <c r="I29" s="64"/>
      <c r="J29" s="64"/>
      <c r="K29" s="102"/>
      <c r="L29" s="48"/>
      <c r="M29" s="77"/>
      <c r="N29" s="82">
        <f t="shared" si="0"/>
        <v>0</v>
      </c>
      <c r="O29" s="80"/>
      <c r="P29" s="45"/>
      <c r="Q29" s="102"/>
      <c r="R29" s="65"/>
    </row>
    <row r="30" spans="1:18" s="47" customFormat="1" ht="19" customHeight="1" x14ac:dyDescent="0.3">
      <c r="A30" s="63"/>
      <c r="B30" s="64"/>
      <c r="C30" s="45"/>
      <c r="D30" s="45"/>
      <c r="E30" s="45"/>
      <c r="F30" s="64"/>
      <c r="G30" s="64"/>
      <c r="H30" s="64"/>
      <c r="I30" s="64"/>
      <c r="J30" s="64"/>
      <c r="K30" s="102"/>
      <c r="L30" s="48"/>
      <c r="M30" s="77"/>
      <c r="N30" s="82">
        <f t="shared" si="0"/>
        <v>0</v>
      </c>
      <c r="O30" s="80"/>
      <c r="P30" s="45"/>
      <c r="Q30" s="102"/>
      <c r="R30" s="65"/>
    </row>
    <row r="31" spans="1:18" s="47" customFormat="1" ht="19" customHeight="1" x14ac:dyDescent="0.3">
      <c r="A31" s="63"/>
      <c r="B31" s="64"/>
      <c r="C31" s="45"/>
      <c r="D31" s="45"/>
      <c r="E31" s="45"/>
      <c r="F31" s="64"/>
      <c r="G31" s="64"/>
      <c r="H31" s="64"/>
      <c r="I31" s="64"/>
      <c r="J31" s="64"/>
      <c r="K31" s="102"/>
      <c r="L31" s="48"/>
      <c r="M31" s="77"/>
      <c r="N31" s="82">
        <f t="shared" si="0"/>
        <v>0</v>
      </c>
      <c r="O31" s="80"/>
      <c r="P31" s="45"/>
      <c r="Q31" s="102"/>
      <c r="R31" s="65"/>
    </row>
    <row r="32" spans="1:18" s="47" customFormat="1" ht="19" customHeight="1" x14ac:dyDescent="0.3">
      <c r="A32" s="63"/>
      <c r="B32" s="64"/>
      <c r="C32" s="45"/>
      <c r="D32" s="45"/>
      <c r="E32" s="45"/>
      <c r="F32" s="64"/>
      <c r="G32" s="64"/>
      <c r="H32" s="64"/>
      <c r="I32" s="64"/>
      <c r="J32" s="64"/>
      <c r="K32" s="102"/>
      <c r="L32" s="48"/>
      <c r="M32" s="77"/>
      <c r="N32" s="82">
        <f t="shared" si="0"/>
        <v>0</v>
      </c>
      <c r="O32" s="80"/>
      <c r="P32" s="45"/>
      <c r="Q32" s="102"/>
      <c r="R32" s="65"/>
    </row>
    <row r="33" spans="1:18" s="47" customFormat="1" ht="19" customHeight="1" x14ac:dyDescent="0.3">
      <c r="A33" s="63"/>
      <c r="B33" s="64"/>
      <c r="C33" s="45"/>
      <c r="D33" s="45"/>
      <c r="E33" s="45"/>
      <c r="F33" s="64"/>
      <c r="G33" s="64"/>
      <c r="H33" s="64"/>
      <c r="I33" s="64"/>
      <c r="J33" s="64"/>
      <c r="K33" s="102"/>
      <c r="L33" s="48"/>
      <c r="M33" s="77"/>
      <c r="N33" s="82">
        <f t="shared" si="0"/>
        <v>0</v>
      </c>
      <c r="O33" s="80"/>
      <c r="P33" s="45"/>
      <c r="Q33" s="102"/>
      <c r="R33" s="65"/>
    </row>
    <row r="34" spans="1:18" s="47" customFormat="1" ht="19" customHeight="1" x14ac:dyDescent="0.3">
      <c r="A34" s="63"/>
      <c r="B34" s="64"/>
      <c r="C34" s="45"/>
      <c r="D34" s="45"/>
      <c r="E34" s="45"/>
      <c r="F34" s="64"/>
      <c r="G34" s="64"/>
      <c r="H34" s="64"/>
      <c r="I34" s="64"/>
      <c r="J34" s="64"/>
      <c r="K34" s="102"/>
      <c r="L34" s="48"/>
      <c r="M34" s="77"/>
      <c r="N34" s="82">
        <f t="shared" si="0"/>
        <v>0</v>
      </c>
      <c r="O34" s="80"/>
      <c r="P34" s="45"/>
      <c r="Q34" s="102"/>
      <c r="R34" s="65"/>
    </row>
    <row r="35" spans="1:18" s="47" customFormat="1" ht="19" customHeight="1" x14ac:dyDescent="0.3">
      <c r="A35" s="63"/>
      <c r="B35" s="64"/>
      <c r="C35" s="45"/>
      <c r="D35" s="45"/>
      <c r="E35" s="45"/>
      <c r="F35" s="64"/>
      <c r="G35" s="64"/>
      <c r="H35" s="64"/>
      <c r="I35" s="64"/>
      <c r="J35" s="64"/>
      <c r="K35" s="102"/>
      <c r="L35" s="48"/>
      <c r="M35" s="77"/>
      <c r="N35" s="82">
        <f t="shared" si="0"/>
        <v>0</v>
      </c>
      <c r="O35" s="80"/>
      <c r="P35" s="45"/>
      <c r="Q35" s="102"/>
      <c r="R35" s="65"/>
    </row>
    <row r="36" spans="1:18" s="47" customFormat="1" ht="19" customHeight="1" x14ac:dyDescent="0.3">
      <c r="A36" s="63"/>
      <c r="B36" s="64"/>
      <c r="C36" s="45"/>
      <c r="D36" s="45"/>
      <c r="E36" s="45"/>
      <c r="F36" s="64"/>
      <c r="G36" s="64"/>
      <c r="H36" s="64"/>
      <c r="I36" s="64"/>
      <c r="J36" s="64"/>
      <c r="K36" s="102"/>
      <c r="L36" s="48"/>
      <c r="M36" s="77"/>
      <c r="N36" s="82">
        <f t="shared" si="0"/>
        <v>0</v>
      </c>
      <c r="O36" s="80"/>
      <c r="P36" s="45"/>
      <c r="Q36" s="102"/>
      <c r="R36" s="65"/>
    </row>
    <row r="37" spans="1:18" s="47" customFormat="1" ht="19" customHeight="1" x14ac:dyDescent="0.3">
      <c r="A37" s="63"/>
      <c r="B37" s="64"/>
      <c r="C37" s="45"/>
      <c r="D37" s="45"/>
      <c r="E37" s="45"/>
      <c r="F37" s="64"/>
      <c r="G37" s="64"/>
      <c r="H37" s="64"/>
      <c r="I37" s="64"/>
      <c r="J37" s="64"/>
      <c r="K37" s="102"/>
      <c r="L37" s="48"/>
      <c r="M37" s="77"/>
      <c r="N37" s="82">
        <f t="shared" si="0"/>
        <v>0</v>
      </c>
      <c r="O37" s="80"/>
      <c r="P37" s="45"/>
      <c r="Q37" s="102"/>
      <c r="R37" s="65"/>
    </row>
    <row r="38" spans="1:18" s="47" customFormat="1" ht="19" customHeight="1" x14ac:dyDescent="0.3">
      <c r="A38" s="63"/>
      <c r="B38" s="64"/>
      <c r="C38" s="45"/>
      <c r="D38" s="45"/>
      <c r="E38" s="45"/>
      <c r="F38" s="64"/>
      <c r="G38" s="64"/>
      <c r="H38" s="64"/>
      <c r="I38" s="64"/>
      <c r="J38" s="64"/>
      <c r="K38" s="102"/>
      <c r="L38" s="48"/>
      <c r="M38" s="77"/>
      <c r="N38" s="82">
        <f t="shared" si="0"/>
        <v>0</v>
      </c>
      <c r="O38" s="80"/>
      <c r="P38" s="45"/>
      <c r="Q38" s="102"/>
      <c r="R38" s="65"/>
    </row>
    <row r="39" spans="1:18" s="47" customFormat="1" ht="19" customHeight="1" x14ac:dyDescent="0.3">
      <c r="A39" s="63"/>
      <c r="B39" s="64"/>
      <c r="C39" s="45"/>
      <c r="D39" s="45"/>
      <c r="E39" s="45"/>
      <c r="F39" s="64"/>
      <c r="G39" s="64"/>
      <c r="H39" s="64"/>
      <c r="I39" s="64"/>
      <c r="J39" s="64"/>
      <c r="K39" s="102"/>
      <c r="L39" s="48"/>
      <c r="M39" s="77"/>
      <c r="N39" s="82">
        <f t="shared" si="0"/>
        <v>0</v>
      </c>
      <c r="O39" s="80"/>
      <c r="P39" s="45"/>
      <c r="Q39" s="102"/>
      <c r="R39" s="65"/>
    </row>
    <row r="40" spans="1:18" s="47" customFormat="1" ht="19" customHeight="1" x14ac:dyDescent="0.3">
      <c r="A40" s="63"/>
      <c r="B40" s="64"/>
      <c r="C40" s="45"/>
      <c r="D40" s="45"/>
      <c r="E40" s="45"/>
      <c r="F40" s="64"/>
      <c r="G40" s="64"/>
      <c r="H40" s="64"/>
      <c r="I40" s="64"/>
      <c r="J40" s="64"/>
      <c r="K40" s="102"/>
      <c r="L40" s="48"/>
      <c r="M40" s="77"/>
      <c r="N40" s="82">
        <f t="shared" si="0"/>
        <v>0</v>
      </c>
      <c r="O40" s="80"/>
      <c r="P40" s="45"/>
      <c r="Q40" s="102"/>
      <c r="R40" s="65"/>
    </row>
    <row r="41" spans="1:18" s="47" customFormat="1" ht="19" customHeight="1" x14ac:dyDescent="0.3">
      <c r="A41" s="63"/>
      <c r="B41" s="64"/>
      <c r="C41" s="45"/>
      <c r="D41" s="45"/>
      <c r="E41" s="45"/>
      <c r="F41" s="64"/>
      <c r="G41" s="64"/>
      <c r="H41" s="64"/>
      <c r="I41" s="64"/>
      <c r="J41" s="64"/>
      <c r="K41" s="102"/>
      <c r="L41" s="48"/>
      <c r="M41" s="77"/>
      <c r="N41" s="82">
        <f t="shared" si="0"/>
        <v>0</v>
      </c>
      <c r="O41" s="80"/>
      <c r="P41" s="45"/>
      <c r="Q41" s="102"/>
      <c r="R41" s="65"/>
    </row>
    <row r="42" spans="1:18" s="47" customFormat="1" ht="19" customHeight="1" x14ac:dyDescent="0.3">
      <c r="A42" s="63"/>
      <c r="B42" s="64"/>
      <c r="C42" s="45"/>
      <c r="D42" s="45"/>
      <c r="E42" s="45"/>
      <c r="F42" s="64"/>
      <c r="G42" s="64"/>
      <c r="H42" s="64"/>
      <c r="I42" s="64"/>
      <c r="J42" s="64"/>
      <c r="K42" s="102"/>
      <c r="L42" s="48"/>
      <c r="M42" s="77"/>
      <c r="N42" s="82">
        <f t="shared" si="0"/>
        <v>0</v>
      </c>
      <c r="O42" s="80"/>
      <c r="P42" s="45"/>
      <c r="Q42" s="102"/>
      <c r="R42" s="65"/>
    </row>
    <row r="43" spans="1:18" s="47" customFormat="1" ht="19" customHeight="1" x14ac:dyDescent="0.3">
      <c r="A43" s="63"/>
      <c r="B43" s="64"/>
      <c r="C43" s="45"/>
      <c r="D43" s="45"/>
      <c r="E43" s="45"/>
      <c r="F43" s="64"/>
      <c r="G43" s="64"/>
      <c r="H43" s="64"/>
      <c r="I43" s="64"/>
      <c r="J43" s="64"/>
      <c r="K43" s="102"/>
      <c r="L43" s="48"/>
      <c r="M43" s="77"/>
      <c r="N43" s="82">
        <f t="shared" si="0"/>
        <v>0</v>
      </c>
      <c r="O43" s="80"/>
      <c r="P43" s="45"/>
      <c r="Q43" s="102"/>
      <c r="R43" s="65"/>
    </row>
    <row r="44" spans="1:18" s="47" customFormat="1" ht="19" customHeight="1" x14ac:dyDescent="0.3">
      <c r="A44" s="63"/>
      <c r="B44" s="64"/>
      <c r="C44" s="45"/>
      <c r="D44" s="45"/>
      <c r="E44" s="45"/>
      <c r="F44" s="64"/>
      <c r="G44" s="64"/>
      <c r="H44" s="64"/>
      <c r="I44" s="64"/>
      <c r="J44" s="64"/>
      <c r="K44" s="102"/>
      <c r="L44" s="48"/>
      <c r="M44" s="77"/>
      <c r="N44" s="82">
        <f t="shared" si="0"/>
        <v>0</v>
      </c>
      <c r="O44" s="80"/>
      <c r="P44" s="45"/>
      <c r="Q44" s="102"/>
      <c r="R44" s="65"/>
    </row>
    <row r="45" spans="1:18" s="47" customFormat="1" ht="19" customHeight="1" x14ac:dyDescent="0.3">
      <c r="A45" s="63"/>
      <c r="B45" s="64"/>
      <c r="C45" s="45"/>
      <c r="D45" s="45"/>
      <c r="E45" s="45"/>
      <c r="F45" s="64"/>
      <c r="G45" s="64"/>
      <c r="H45" s="64"/>
      <c r="I45" s="64"/>
      <c r="J45" s="64"/>
      <c r="K45" s="102"/>
      <c r="L45" s="48"/>
      <c r="M45" s="77"/>
      <c r="N45" s="82">
        <f t="shared" si="0"/>
        <v>0</v>
      </c>
      <c r="O45" s="80"/>
      <c r="P45" s="45"/>
      <c r="Q45" s="102"/>
      <c r="R45" s="65"/>
    </row>
    <row r="46" spans="1:18" s="47" customFormat="1" ht="19" customHeight="1" x14ac:dyDescent="0.3">
      <c r="A46" s="63"/>
      <c r="B46" s="64"/>
      <c r="C46" s="45"/>
      <c r="D46" s="45"/>
      <c r="E46" s="45"/>
      <c r="F46" s="64"/>
      <c r="G46" s="64"/>
      <c r="H46" s="64"/>
      <c r="I46" s="64"/>
      <c r="J46" s="64"/>
      <c r="K46" s="102"/>
      <c r="L46" s="48"/>
      <c r="M46" s="77"/>
      <c r="N46" s="82">
        <f t="shared" si="0"/>
        <v>0</v>
      </c>
      <c r="O46" s="80"/>
      <c r="P46" s="45"/>
      <c r="Q46" s="102"/>
      <c r="R46" s="65"/>
    </row>
    <row r="47" spans="1:18" s="47" customFormat="1" ht="19" customHeight="1" x14ac:dyDescent="0.3">
      <c r="A47" s="63"/>
      <c r="B47" s="64"/>
      <c r="C47" s="45"/>
      <c r="D47" s="45"/>
      <c r="E47" s="45"/>
      <c r="F47" s="64"/>
      <c r="G47" s="64"/>
      <c r="H47" s="64"/>
      <c r="I47" s="64"/>
      <c r="J47" s="64"/>
      <c r="K47" s="102"/>
      <c r="L47" s="48"/>
      <c r="M47" s="77"/>
      <c r="N47" s="82">
        <f t="shared" si="0"/>
        <v>0</v>
      </c>
      <c r="O47" s="80"/>
      <c r="P47" s="45"/>
      <c r="Q47" s="102"/>
      <c r="R47" s="65"/>
    </row>
    <row r="48" spans="1:18" s="47" customFormat="1" ht="19" customHeight="1" x14ac:dyDescent="0.3">
      <c r="A48" s="63"/>
      <c r="B48" s="64"/>
      <c r="C48" s="45"/>
      <c r="D48" s="45"/>
      <c r="E48" s="45"/>
      <c r="F48" s="64"/>
      <c r="G48" s="64"/>
      <c r="H48" s="64"/>
      <c r="I48" s="64"/>
      <c r="J48" s="64"/>
      <c r="K48" s="102"/>
      <c r="L48" s="48"/>
      <c r="M48" s="77"/>
      <c r="N48" s="82">
        <f t="shared" si="0"/>
        <v>0</v>
      </c>
      <c r="O48" s="80"/>
      <c r="P48" s="45"/>
      <c r="Q48" s="102"/>
      <c r="R48" s="65"/>
    </row>
    <row r="49" spans="1:18" s="47" customFormat="1" ht="19" customHeight="1" x14ac:dyDescent="0.3">
      <c r="A49" s="63"/>
      <c r="B49" s="64"/>
      <c r="C49" s="45"/>
      <c r="D49" s="45"/>
      <c r="E49" s="45"/>
      <c r="F49" s="64"/>
      <c r="G49" s="64"/>
      <c r="H49" s="64"/>
      <c r="I49" s="64"/>
      <c r="J49" s="64"/>
      <c r="K49" s="102"/>
      <c r="L49" s="48"/>
      <c r="M49" s="77"/>
      <c r="N49" s="82">
        <f t="shared" si="0"/>
        <v>0</v>
      </c>
      <c r="O49" s="80"/>
      <c r="P49" s="45"/>
      <c r="Q49" s="102"/>
      <c r="R49" s="65"/>
    </row>
    <row r="50" spans="1:18" s="47" customFormat="1" ht="19" customHeight="1" x14ac:dyDescent="0.3">
      <c r="A50" s="63"/>
      <c r="B50" s="64"/>
      <c r="C50" s="45"/>
      <c r="D50" s="45"/>
      <c r="E50" s="45"/>
      <c r="F50" s="64"/>
      <c r="G50" s="64"/>
      <c r="H50" s="64"/>
      <c r="I50" s="64"/>
      <c r="J50" s="64"/>
      <c r="K50" s="102"/>
      <c r="L50" s="48"/>
      <c r="M50" s="77"/>
      <c r="N50" s="82">
        <f t="shared" si="0"/>
        <v>0</v>
      </c>
      <c r="O50" s="80"/>
      <c r="P50" s="45"/>
      <c r="Q50" s="102"/>
      <c r="R50" s="65"/>
    </row>
    <row r="51" spans="1:18" s="47" customFormat="1" ht="19" customHeight="1" x14ac:dyDescent="0.3">
      <c r="A51" s="63"/>
      <c r="B51" s="64"/>
      <c r="C51" s="45"/>
      <c r="D51" s="45"/>
      <c r="E51" s="45"/>
      <c r="F51" s="64"/>
      <c r="G51" s="64"/>
      <c r="H51" s="64"/>
      <c r="I51" s="64"/>
      <c r="J51" s="64"/>
      <c r="K51" s="102"/>
      <c r="L51" s="48"/>
      <c r="M51" s="77"/>
      <c r="N51" s="82">
        <f t="shared" si="0"/>
        <v>0</v>
      </c>
      <c r="O51" s="80"/>
      <c r="P51" s="45"/>
      <c r="Q51" s="102"/>
      <c r="R51" s="65"/>
    </row>
    <row r="52" spans="1:18" s="47" customFormat="1" ht="19" customHeight="1" x14ac:dyDescent="0.3">
      <c r="A52" s="63"/>
      <c r="B52" s="64"/>
      <c r="C52" s="45"/>
      <c r="D52" s="45"/>
      <c r="E52" s="45"/>
      <c r="F52" s="64"/>
      <c r="G52" s="64"/>
      <c r="H52" s="64"/>
      <c r="I52" s="64"/>
      <c r="J52" s="64"/>
      <c r="K52" s="102"/>
      <c r="L52" s="48"/>
      <c r="M52" s="77"/>
      <c r="N52" s="82">
        <f t="shared" si="0"/>
        <v>0</v>
      </c>
      <c r="O52" s="80"/>
      <c r="P52" s="45"/>
      <c r="Q52" s="102"/>
      <c r="R52" s="65"/>
    </row>
    <row r="53" spans="1:18" s="47" customFormat="1" ht="19" customHeight="1" x14ac:dyDescent="0.3">
      <c r="A53" s="63"/>
      <c r="B53" s="64"/>
      <c r="C53" s="45"/>
      <c r="D53" s="45"/>
      <c r="E53" s="45"/>
      <c r="F53" s="64"/>
      <c r="G53" s="64"/>
      <c r="H53" s="64"/>
      <c r="I53" s="64"/>
      <c r="J53" s="64"/>
      <c r="K53" s="102"/>
      <c r="L53" s="48"/>
      <c r="M53" s="77"/>
      <c r="N53" s="82">
        <f t="shared" si="0"/>
        <v>0</v>
      </c>
      <c r="O53" s="80"/>
      <c r="P53" s="45"/>
      <c r="Q53" s="102"/>
      <c r="R53" s="65"/>
    </row>
    <row r="54" spans="1:18" s="47" customFormat="1" ht="19" customHeight="1" x14ac:dyDescent="0.3">
      <c r="A54" s="63"/>
      <c r="B54" s="64"/>
      <c r="C54" s="45"/>
      <c r="D54" s="45"/>
      <c r="E54" s="45"/>
      <c r="F54" s="64"/>
      <c r="G54" s="64"/>
      <c r="H54" s="64"/>
      <c r="I54" s="64"/>
      <c r="J54" s="64"/>
      <c r="K54" s="102"/>
      <c r="L54" s="48"/>
      <c r="M54" s="77"/>
      <c r="N54" s="82">
        <f t="shared" si="0"/>
        <v>0</v>
      </c>
      <c r="O54" s="80"/>
      <c r="P54" s="45"/>
      <c r="Q54" s="102"/>
      <c r="R54" s="65"/>
    </row>
    <row r="55" spans="1:18" s="47" customFormat="1" ht="19" customHeight="1" x14ac:dyDescent="0.3">
      <c r="A55" s="63"/>
      <c r="B55" s="64"/>
      <c r="C55" s="45"/>
      <c r="D55" s="45"/>
      <c r="E55" s="45"/>
      <c r="F55" s="64"/>
      <c r="G55" s="64"/>
      <c r="H55" s="64"/>
      <c r="I55" s="64"/>
      <c r="J55" s="64"/>
      <c r="K55" s="102"/>
      <c r="L55" s="48"/>
      <c r="M55" s="77"/>
      <c r="N55" s="82">
        <f t="shared" si="0"/>
        <v>0</v>
      </c>
      <c r="O55" s="80"/>
      <c r="P55" s="45"/>
      <c r="Q55" s="102"/>
      <c r="R55" s="65"/>
    </row>
    <row r="56" spans="1:18" s="47" customFormat="1" ht="19" customHeight="1" x14ac:dyDescent="0.3">
      <c r="A56" s="63"/>
      <c r="B56" s="64"/>
      <c r="C56" s="45"/>
      <c r="D56" s="45"/>
      <c r="E56" s="45"/>
      <c r="F56" s="64"/>
      <c r="G56" s="64"/>
      <c r="H56" s="64"/>
      <c r="I56" s="64"/>
      <c r="J56" s="64"/>
      <c r="K56" s="102"/>
      <c r="L56" s="48"/>
      <c r="M56" s="77"/>
      <c r="N56" s="82">
        <f t="shared" si="0"/>
        <v>0</v>
      </c>
      <c r="O56" s="80"/>
      <c r="P56" s="45"/>
      <c r="Q56" s="102"/>
      <c r="R56" s="65"/>
    </row>
    <row r="57" spans="1:18" s="47" customFormat="1" ht="19" customHeight="1" x14ac:dyDescent="0.3">
      <c r="A57" s="63"/>
      <c r="B57" s="64"/>
      <c r="C57" s="45"/>
      <c r="D57" s="45"/>
      <c r="E57" s="45"/>
      <c r="F57" s="64"/>
      <c r="G57" s="64"/>
      <c r="H57" s="64"/>
      <c r="I57" s="64"/>
      <c r="J57" s="64"/>
      <c r="K57" s="102"/>
      <c r="L57" s="48"/>
      <c r="M57" s="77"/>
      <c r="N57" s="82">
        <f t="shared" si="0"/>
        <v>0</v>
      </c>
      <c r="O57" s="80"/>
      <c r="P57" s="45"/>
      <c r="Q57" s="102"/>
      <c r="R57" s="65"/>
    </row>
    <row r="58" spans="1:18" s="47" customFormat="1" ht="19" customHeight="1" x14ac:dyDescent="0.3">
      <c r="A58" s="63"/>
      <c r="B58" s="64"/>
      <c r="C58" s="45"/>
      <c r="D58" s="45"/>
      <c r="E58" s="45"/>
      <c r="F58" s="64"/>
      <c r="G58" s="64"/>
      <c r="H58" s="64"/>
      <c r="I58" s="64"/>
      <c r="J58" s="64"/>
      <c r="K58" s="102"/>
      <c r="L58" s="48"/>
      <c r="M58" s="77"/>
      <c r="N58" s="82">
        <f t="shared" si="0"/>
        <v>0</v>
      </c>
      <c r="O58" s="80"/>
      <c r="P58" s="45"/>
      <c r="Q58" s="102"/>
      <c r="R58" s="65"/>
    </row>
    <row r="59" spans="1:18" s="47" customFormat="1" ht="19" customHeight="1" x14ac:dyDescent="0.3">
      <c r="A59" s="63"/>
      <c r="B59" s="64"/>
      <c r="C59" s="45"/>
      <c r="D59" s="45"/>
      <c r="E59" s="45"/>
      <c r="F59" s="64"/>
      <c r="G59" s="64"/>
      <c r="H59" s="64"/>
      <c r="I59" s="64"/>
      <c r="J59" s="64"/>
      <c r="K59" s="102"/>
      <c r="L59" s="48"/>
      <c r="M59" s="77"/>
      <c r="N59" s="82">
        <f t="shared" si="0"/>
        <v>0</v>
      </c>
      <c r="O59" s="80"/>
      <c r="P59" s="45"/>
      <c r="Q59" s="102"/>
      <c r="R59" s="65"/>
    </row>
    <row r="60" spans="1:18" s="47" customFormat="1" ht="19" customHeight="1" x14ac:dyDescent="0.3">
      <c r="A60" s="63"/>
      <c r="B60" s="64"/>
      <c r="C60" s="45"/>
      <c r="D60" s="45"/>
      <c r="E60" s="45"/>
      <c r="F60" s="64"/>
      <c r="G60" s="64"/>
      <c r="H60" s="64"/>
      <c r="I60" s="64"/>
      <c r="J60" s="64"/>
      <c r="K60" s="102"/>
      <c r="L60" s="48"/>
      <c r="M60" s="77"/>
      <c r="N60" s="82">
        <f t="shared" si="0"/>
        <v>0</v>
      </c>
      <c r="O60" s="80"/>
      <c r="P60" s="45"/>
      <c r="Q60" s="102"/>
      <c r="R60" s="65"/>
    </row>
    <row r="61" spans="1:18" s="47" customFormat="1" ht="19" customHeight="1" x14ac:dyDescent="0.3">
      <c r="A61" s="63"/>
      <c r="B61" s="64"/>
      <c r="C61" s="45"/>
      <c r="D61" s="45"/>
      <c r="E61" s="45"/>
      <c r="F61" s="64"/>
      <c r="G61" s="64"/>
      <c r="H61" s="64"/>
      <c r="I61" s="64"/>
      <c r="J61" s="64"/>
      <c r="K61" s="102"/>
      <c r="L61" s="48"/>
      <c r="M61" s="77"/>
      <c r="N61" s="82">
        <f t="shared" si="0"/>
        <v>0</v>
      </c>
      <c r="O61" s="80"/>
      <c r="P61" s="45"/>
      <c r="Q61" s="102"/>
      <c r="R61" s="65"/>
    </row>
    <row r="62" spans="1:18" s="47" customFormat="1" ht="19" customHeight="1" x14ac:dyDescent="0.3">
      <c r="A62" s="63"/>
      <c r="B62" s="64"/>
      <c r="C62" s="45"/>
      <c r="D62" s="45"/>
      <c r="E62" s="45"/>
      <c r="F62" s="64"/>
      <c r="G62" s="64"/>
      <c r="H62" s="64"/>
      <c r="I62" s="64"/>
      <c r="J62" s="64"/>
      <c r="K62" s="102"/>
      <c r="L62" s="48"/>
      <c r="M62" s="77"/>
      <c r="N62" s="82">
        <f t="shared" si="0"/>
        <v>0</v>
      </c>
      <c r="O62" s="80"/>
      <c r="P62" s="45"/>
      <c r="Q62" s="102"/>
      <c r="R62" s="65"/>
    </row>
    <row r="63" spans="1:18" s="47" customFormat="1" ht="19" customHeight="1" x14ac:dyDescent="0.3">
      <c r="A63" s="63"/>
      <c r="B63" s="64"/>
      <c r="C63" s="45"/>
      <c r="D63" s="45"/>
      <c r="E63" s="45"/>
      <c r="F63" s="64"/>
      <c r="G63" s="64"/>
      <c r="H63" s="64"/>
      <c r="I63" s="64"/>
      <c r="J63" s="64"/>
      <c r="K63" s="102"/>
      <c r="L63" s="48"/>
      <c r="M63" s="77"/>
      <c r="N63" s="82">
        <f t="shared" si="0"/>
        <v>0</v>
      </c>
      <c r="O63" s="80"/>
      <c r="P63" s="45"/>
      <c r="Q63" s="102"/>
      <c r="R63" s="65"/>
    </row>
    <row r="64" spans="1:18" s="47" customFormat="1" ht="19" customHeight="1" x14ac:dyDescent="0.3">
      <c r="A64" s="63"/>
      <c r="B64" s="64"/>
      <c r="C64" s="45"/>
      <c r="D64" s="45"/>
      <c r="E64" s="45"/>
      <c r="F64" s="64"/>
      <c r="G64" s="64"/>
      <c r="H64" s="64"/>
      <c r="I64" s="64"/>
      <c r="J64" s="64"/>
      <c r="K64" s="102"/>
      <c r="L64" s="48"/>
      <c r="M64" s="77"/>
      <c r="N64" s="82">
        <f t="shared" si="0"/>
        <v>0</v>
      </c>
      <c r="O64" s="80"/>
      <c r="P64" s="45"/>
      <c r="Q64" s="102"/>
      <c r="R64" s="65"/>
    </row>
    <row r="65" spans="1:18" s="47" customFormat="1" ht="19" customHeight="1" x14ac:dyDescent="0.3">
      <c r="A65" s="63"/>
      <c r="B65" s="64"/>
      <c r="C65" s="45"/>
      <c r="D65" s="45"/>
      <c r="E65" s="45"/>
      <c r="F65" s="64"/>
      <c r="G65" s="64"/>
      <c r="H65" s="64"/>
      <c r="I65" s="64"/>
      <c r="J65" s="64"/>
      <c r="K65" s="102"/>
      <c r="L65" s="48"/>
      <c r="M65" s="77"/>
      <c r="N65" s="82">
        <f t="shared" si="0"/>
        <v>0</v>
      </c>
      <c r="O65" s="80"/>
      <c r="P65" s="45"/>
      <c r="Q65" s="102"/>
      <c r="R65" s="65"/>
    </row>
    <row r="66" spans="1:18" s="47" customFormat="1" ht="19" customHeight="1" x14ac:dyDescent="0.3">
      <c r="A66" s="63"/>
      <c r="B66" s="64"/>
      <c r="C66" s="45"/>
      <c r="D66" s="45"/>
      <c r="E66" s="45"/>
      <c r="F66" s="64"/>
      <c r="G66" s="64"/>
      <c r="H66" s="64"/>
      <c r="I66" s="64"/>
      <c r="J66" s="64"/>
      <c r="K66" s="102"/>
      <c r="L66" s="48"/>
      <c r="M66" s="77"/>
      <c r="N66" s="82">
        <f t="shared" si="0"/>
        <v>0</v>
      </c>
      <c r="O66" s="80"/>
      <c r="P66" s="45"/>
      <c r="Q66" s="102"/>
      <c r="R66" s="65"/>
    </row>
    <row r="67" spans="1:18" s="47" customFormat="1" ht="19" customHeight="1" x14ac:dyDescent="0.3">
      <c r="A67" s="63"/>
      <c r="B67" s="64"/>
      <c r="C67" s="45"/>
      <c r="D67" s="45"/>
      <c r="E67" s="45"/>
      <c r="F67" s="64"/>
      <c r="G67" s="64"/>
      <c r="H67" s="64"/>
      <c r="I67" s="64"/>
      <c r="J67" s="64"/>
      <c r="K67" s="102"/>
      <c r="L67" s="48"/>
      <c r="M67" s="77"/>
      <c r="N67" s="82">
        <f t="shared" si="0"/>
        <v>0</v>
      </c>
      <c r="O67" s="80"/>
      <c r="P67" s="45"/>
      <c r="Q67" s="102"/>
      <c r="R67" s="65"/>
    </row>
    <row r="68" spans="1:18" s="47" customFormat="1" ht="19" customHeight="1" x14ac:dyDescent="0.3">
      <c r="A68" s="63"/>
      <c r="B68" s="64"/>
      <c r="C68" s="45"/>
      <c r="D68" s="45"/>
      <c r="E68" s="45"/>
      <c r="F68" s="64"/>
      <c r="G68" s="64"/>
      <c r="H68" s="64"/>
      <c r="I68" s="64"/>
      <c r="J68" s="64"/>
      <c r="K68" s="102"/>
      <c r="L68" s="48"/>
      <c r="M68" s="77"/>
      <c r="N68" s="82">
        <f t="shared" si="0"/>
        <v>0</v>
      </c>
      <c r="O68" s="80"/>
      <c r="P68" s="45"/>
      <c r="Q68" s="102"/>
      <c r="R68" s="65"/>
    </row>
    <row r="69" spans="1:18" s="47" customFormat="1" ht="19" customHeight="1" x14ac:dyDescent="0.3">
      <c r="A69" s="63"/>
      <c r="B69" s="64"/>
      <c r="C69" s="45"/>
      <c r="D69" s="45"/>
      <c r="E69" s="45"/>
      <c r="F69" s="64"/>
      <c r="G69" s="64"/>
      <c r="H69" s="64"/>
      <c r="I69" s="64"/>
      <c r="J69" s="64"/>
      <c r="K69" s="102"/>
      <c r="L69" s="48"/>
      <c r="M69" s="77"/>
      <c r="N69" s="82">
        <f t="shared" si="0"/>
        <v>0</v>
      </c>
      <c r="O69" s="80"/>
      <c r="P69" s="45"/>
      <c r="Q69" s="102"/>
      <c r="R69" s="65"/>
    </row>
    <row r="70" spans="1:18" s="47" customFormat="1" ht="19" customHeight="1" x14ac:dyDescent="0.3">
      <c r="A70" s="63"/>
      <c r="B70" s="64"/>
      <c r="C70" s="45"/>
      <c r="D70" s="45"/>
      <c r="E70" s="45"/>
      <c r="F70" s="64"/>
      <c r="G70" s="64"/>
      <c r="H70" s="64"/>
      <c r="I70" s="64"/>
      <c r="J70" s="64"/>
      <c r="K70" s="102"/>
      <c r="L70" s="48"/>
      <c r="M70" s="77"/>
      <c r="N70" s="82">
        <f t="shared" si="0"/>
        <v>0</v>
      </c>
      <c r="O70" s="80"/>
      <c r="P70" s="45"/>
      <c r="Q70" s="102"/>
      <c r="R70" s="65"/>
    </row>
    <row r="71" spans="1:18" s="47" customFormat="1" ht="19" customHeight="1" x14ac:dyDescent="0.3">
      <c r="A71" s="63"/>
      <c r="B71" s="64"/>
      <c r="C71" s="45"/>
      <c r="D71" s="45"/>
      <c r="E71" s="45"/>
      <c r="F71" s="64"/>
      <c r="G71" s="64"/>
      <c r="H71" s="64"/>
      <c r="I71" s="64"/>
      <c r="J71" s="64"/>
      <c r="K71" s="102"/>
      <c r="L71" s="48"/>
      <c r="M71" s="77"/>
      <c r="N71" s="82">
        <f t="shared" ref="N71:N80" si="1">M71-L71</f>
        <v>0</v>
      </c>
      <c r="O71" s="80"/>
      <c r="P71" s="45"/>
      <c r="Q71" s="102"/>
      <c r="R71" s="65"/>
    </row>
    <row r="72" spans="1:18" s="47" customFormat="1" ht="19" customHeight="1" x14ac:dyDescent="0.3">
      <c r="A72" s="63"/>
      <c r="B72" s="64"/>
      <c r="C72" s="45"/>
      <c r="D72" s="45"/>
      <c r="E72" s="45"/>
      <c r="F72" s="64"/>
      <c r="G72" s="64"/>
      <c r="H72" s="64"/>
      <c r="I72" s="64"/>
      <c r="J72" s="64"/>
      <c r="K72" s="102"/>
      <c r="L72" s="48"/>
      <c r="M72" s="77"/>
      <c r="N72" s="82">
        <f t="shared" si="1"/>
        <v>0</v>
      </c>
      <c r="O72" s="80"/>
      <c r="P72" s="45"/>
      <c r="Q72" s="102"/>
      <c r="R72" s="65"/>
    </row>
    <row r="73" spans="1:18" s="47" customFormat="1" ht="19" customHeight="1" x14ac:dyDescent="0.3">
      <c r="A73" s="63"/>
      <c r="B73" s="64"/>
      <c r="C73" s="45"/>
      <c r="D73" s="45"/>
      <c r="E73" s="45"/>
      <c r="F73" s="64"/>
      <c r="G73" s="64"/>
      <c r="H73" s="64"/>
      <c r="I73" s="64"/>
      <c r="J73" s="64"/>
      <c r="K73" s="102"/>
      <c r="L73" s="48"/>
      <c r="M73" s="77"/>
      <c r="N73" s="82">
        <f t="shared" si="1"/>
        <v>0</v>
      </c>
      <c r="O73" s="80"/>
      <c r="P73" s="45"/>
      <c r="Q73" s="102"/>
      <c r="R73" s="65"/>
    </row>
    <row r="74" spans="1:18" s="47" customFormat="1" ht="19" customHeight="1" x14ac:dyDescent="0.3">
      <c r="A74" s="63"/>
      <c r="B74" s="64"/>
      <c r="C74" s="45"/>
      <c r="D74" s="45"/>
      <c r="E74" s="45"/>
      <c r="F74" s="64"/>
      <c r="G74" s="64"/>
      <c r="H74" s="64"/>
      <c r="I74" s="64"/>
      <c r="J74" s="64"/>
      <c r="K74" s="102"/>
      <c r="L74" s="48"/>
      <c r="M74" s="77"/>
      <c r="N74" s="82">
        <f t="shared" si="1"/>
        <v>0</v>
      </c>
      <c r="O74" s="80"/>
      <c r="P74" s="45"/>
      <c r="Q74" s="102"/>
      <c r="R74" s="65"/>
    </row>
    <row r="75" spans="1:18" s="47" customFormat="1" ht="19" customHeight="1" x14ac:dyDescent="0.3">
      <c r="A75" s="63"/>
      <c r="B75" s="64"/>
      <c r="C75" s="45"/>
      <c r="D75" s="45"/>
      <c r="E75" s="45"/>
      <c r="F75" s="64"/>
      <c r="G75" s="64"/>
      <c r="H75" s="64"/>
      <c r="I75" s="64"/>
      <c r="J75" s="64"/>
      <c r="K75" s="102"/>
      <c r="L75" s="48"/>
      <c r="M75" s="77"/>
      <c r="N75" s="82">
        <f t="shared" si="1"/>
        <v>0</v>
      </c>
      <c r="O75" s="80"/>
      <c r="P75" s="45"/>
      <c r="Q75" s="102"/>
      <c r="R75" s="65"/>
    </row>
    <row r="76" spans="1:18" s="47" customFormat="1" ht="20" customHeight="1" x14ac:dyDescent="0.3">
      <c r="A76" s="63"/>
      <c r="B76" s="64"/>
      <c r="C76" s="45"/>
      <c r="D76" s="45"/>
      <c r="E76" s="45"/>
      <c r="F76" s="64"/>
      <c r="G76" s="64"/>
      <c r="H76" s="64"/>
      <c r="I76" s="64"/>
      <c r="J76" s="64"/>
      <c r="K76" s="102"/>
      <c r="L76" s="48"/>
      <c r="M76" s="77"/>
      <c r="N76" s="82">
        <f t="shared" si="1"/>
        <v>0</v>
      </c>
      <c r="O76" s="80"/>
      <c r="P76" s="45"/>
      <c r="Q76" s="102"/>
      <c r="R76" s="65"/>
    </row>
    <row r="77" spans="1:18" s="47" customFormat="1" ht="20" customHeight="1" x14ac:dyDescent="0.3">
      <c r="A77" s="63"/>
      <c r="B77" s="64"/>
      <c r="C77" s="45"/>
      <c r="D77" s="45"/>
      <c r="E77" s="45"/>
      <c r="F77" s="64"/>
      <c r="G77" s="64"/>
      <c r="H77" s="64"/>
      <c r="I77" s="64"/>
      <c r="J77" s="64"/>
      <c r="K77" s="102"/>
      <c r="L77" s="48"/>
      <c r="M77" s="77"/>
      <c r="N77" s="82">
        <f t="shared" si="1"/>
        <v>0</v>
      </c>
      <c r="O77" s="80"/>
      <c r="P77" s="45"/>
      <c r="Q77" s="102"/>
      <c r="R77" s="65"/>
    </row>
    <row r="78" spans="1:18" s="47" customFormat="1" ht="20" customHeight="1" x14ac:dyDescent="0.3">
      <c r="A78" s="63"/>
      <c r="B78" s="64"/>
      <c r="C78" s="45"/>
      <c r="D78" s="45"/>
      <c r="E78" s="45"/>
      <c r="F78" s="64"/>
      <c r="G78" s="64"/>
      <c r="H78" s="64"/>
      <c r="I78" s="64"/>
      <c r="J78" s="64"/>
      <c r="K78" s="102"/>
      <c r="L78" s="48"/>
      <c r="M78" s="77"/>
      <c r="N78" s="82">
        <f t="shared" si="1"/>
        <v>0</v>
      </c>
      <c r="O78" s="80"/>
      <c r="P78" s="45"/>
      <c r="Q78" s="102"/>
      <c r="R78" s="65"/>
    </row>
    <row r="79" spans="1:18" s="47" customFormat="1" ht="20" customHeight="1" x14ac:dyDescent="0.3">
      <c r="A79" s="63"/>
      <c r="B79" s="64"/>
      <c r="C79" s="45"/>
      <c r="D79" s="45"/>
      <c r="E79" s="45"/>
      <c r="F79" s="64"/>
      <c r="G79" s="64"/>
      <c r="H79" s="64"/>
      <c r="I79" s="64"/>
      <c r="J79" s="64"/>
      <c r="K79" s="102"/>
      <c r="L79" s="48"/>
      <c r="M79" s="77"/>
      <c r="N79" s="82">
        <f t="shared" si="1"/>
        <v>0</v>
      </c>
      <c r="O79" s="80"/>
      <c r="P79" s="45"/>
      <c r="Q79" s="102"/>
      <c r="R79" s="65"/>
    </row>
    <row r="80" spans="1:18" s="46" customFormat="1" ht="20" customHeight="1" x14ac:dyDescent="0.3">
      <c r="A80" s="63"/>
      <c r="B80" s="74"/>
      <c r="C80" s="75"/>
      <c r="D80" s="75"/>
      <c r="E80" s="75"/>
      <c r="F80" s="74"/>
      <c r="G80" s="74"/>
      <c r="H80" s="74"/>
      <c r="I80" s="74"/>
      <c r="J80" s="74"/>
      <c r="K80" s="103"/>
      <c r="L80" s="76"/>
      <c r="M80" s="78"/>
      <c r="N80" s="82">
        <f t="shared" si="1"/>
        <v>0</v>
      </c>
      <c r="O80" s="81"/>
      <c r="P80" s="75"/>
      <c r="Q80" s="103"/>
      <c r="R80" s="63"/>
    </row>
    <row r="81" spans="1:18" s="63" customFormat="1" ht="12.5" x14ac:dyDescent="0.3">
      <c r="B81" s="71"/>
      <c r="F81" s="71"/>
      <c r="G81" s="71"/>
      <c r="H81" s="71"/>
      <c r="I81" s="71"/>
      <c r="J81" s="71"/>
      <c r="K81" s="104"/>
      <c r="L81" s="72"/>
      <c r="M81" s="72"/>
      <c r="N81" s="72"/>
      <c r="O81" s="73"/>
      <c r="Q81" s="104"/>
    </row>
    <row r="82" spans="1:18" s="66" customFormat="1" ht="12.5" hidden="1" x14ac:dyDescent="0.3">
      <c r="A82" s="40"/>
      <c r="B82" s="69"/>
      <c r="C82" s="46"/>
      <c r="D82" s="46"/>
      <c r="E82" s="46"/>
      <c r="F82" s="69"/>
      <c r="G82" s="69"/>
      <c r="H82" s="69"/>
      <c r="I82" s="69"/>
      <c r="J82" s="69"/>
      <c r="K82" s="105"/>
      <c r="L82" s="69"/>
      <c r="M82" s="69"/>
      <c r="N82" s="67"/>
      <c r="O82" s="70"/>
      <c r="P82" s="46"/>
      <c r="Q82" s="105"/>
      <c r="R82" s="40"/>
    </row>
    <row r="83" spans="1:18" ht="12.5" hidden="1" x14ac:dyDescent="0.3">
      <c r="B83" s="41"/>
      <c r="F83" s="41"/>
      <c r="G83" s="41"/>
      <c r="H83" s="41"/>
      <c r="I83" s="41"/>
      <c r="J83" s="41"/>
      <c r="L83" s="41"/>
      <c r="M83" s="41"/>
      <c r="N83" s="67"/>
    </row>
    <row r="84" spans="1:18" ht="12.5" hidden="1" x14ac:dyDescent="0.3">
      <c r="B84" s="41"/>
      <c r="F84" s="41"/>
      <c r="G84" s="41"/>
      <c r="H84" s="41"/>
      <c r="I84" s="41"/>
      <c r="J84" s="41"/>
      <c r="L84" s="41"/>
      <c r="M84" s="41"/>
      <c r="N84" s="67"/>
    </row>
    <row r="85" spans="1:18" ht="12.5" hidden="1" x14ac:dyDescent="0.3">
      <c r="B85" s="41"/>
      <c r="F85" s="41"/>
      <c r="G85" s="41"/>
      <c r="H85" s="41"/>
      <c r="I85" s="41"/>
      <c r="J85" s="41"/>
      <c r="L85" s="41"/>
      <c r="M85" s="41"/>
      <c r="N85" s="67"/>
    </row>
    <row r="86" spans="1:18" ht="12.5" hidden="1" x14ac:dyDescent="0.3">
      <c r="B86" s="41"/>
      <c r="F86" s="41"/>
      <c r="G86" s="41"/>
      <c r="H86" s="41"/>
      <c r="I86" s="41"/>
      <c r="J86" s="41"/>
      <c r="L86" s="41"/>
      <c r="M86" s="41"/>
      <c r="N86" s="67"/>
    </row>
    <row r="87" spans="1:18" ht="12.5" hidden="1" x14ac:dyDescent="0.3">
      <c r="B87" s="41"/>
      <c r="F87" s="41"/>
      <c r="G87" s="41"/>
      <c r="H87" s="41"/>
      <c r="I87" s="41"/>
      <c r="J87" s="41"/>
      <c r="L87" s="41"/>
      <c r="M87" s="41"/>
      <c r="N87" s="67"/>
    </row>
    <row r="88" spans="1:18" ht="12.5" hidden="1" x14ac:dyDescent="0.3">
      <c r="B88" s="41"/>
      <c r="F88" s="41"/>
      <c r="G88" s="41"/>
      <c r="H88" s="41"/>
      <c r="I88" s="41"/>
      <c r="J88" s="41"/>
      <c r="L88" s="41"/>
      <c r="M88" s="41"/>
      <c r="N88" s="67"/>
    </row>
    <row r="89" spans="1:18" ht="12.5" hidden="1" x14ac:dyDescent="0.3">
      <c r="B89" s="41"/>
      <c r="F89" s="41"/>
      <c r="G89" s="41"/>
      <c r="H89" s="41"/>
      <c r="I89" s="41"/>
      <c r="J89" s="41"/>
      <c r="L89" s="41"/>
      <c r="M89" s="41"/>
      <c r="N89" s="67"/>
    </row>
    <row r="90" spans="1:18" ht="12.5" hidden="1" x14ac:dyDescent="0.3">
      <c r="B90" s="41"/>
      <c r="F90" s="41"/>
      <c r="G90" s="41"/>
      <c r="H90" s="41"/>
      <c r="I90" s="41"/>
      <c r="J90" s="41"/>
      <c r="L90" s="41"/>
      <c r="M90" s="41"/>
      <c r="N90" s="67"/>
    </row>
    <row r="91" spans="1:18" ht="12.5" hidden="1" x14ac:dyDescent="0.3">
      <c r="B91" s="41"/>
      <c r="F91" s="41"/>
      <c r="G91" s="41"/>
      <c r="H91" s="41"/>
      <c r="I91" s="41"/>
      <c r="J91" s="41"/>
      <c r="L91" s="41"/>
      <c r="M91" s="41"/>
      <c r="N91" s="67"/>
    </row>
    <row r="92" spans="1:18" ht="12.5" hidden="1" x14ac:dyDescent="0.3">
      <c r="B92" s="41"/>
      <c r="F92" s="41"/>
      <c r="G92" s="41"/>
      <c r="H92" s="41"/>
      <c r="I92" s="41"/>
      <c r="J92" s="41"/>
      <c r="L92" s="41"/>
      <c r="M92" s="41"/>
      <c r="N92" s="67"/>
    </row>
    <row r="93" spans="1:18" ht="12.5" hidden="1" x14ac:dyDescent="0.3">
      <c r="B93" s="41"/>
      <c r="F93" s="41"/>
      <c r="G93" s="41"/>
      <c r="H93" s="41"/>
      <c r="I93" s="41"/>
      <c r="J93" s="41"/>
      <c r="L93" s="41"/>
      <c r="M93" s="41"/>
      <c r="N93" s="67"/>
    </row>
    <row r="94" spans="1:18" ht="12.5" hidden="1" x14ac:dyDescent="0.3">
      <c r="B94" s="41"/>
      <c r="F94" s="41"/>
      <c r="G94" s="41"/>
      <c r="H94" s="41"/>
      <c r="I94" s="41"/>
      <c r="J94" s="41"/>
      <c r="L94" s="41"/>
      <c r="M94" s="41"/>
      <c r="N94" s="67"/>
    </row>
    <row r="95" spans="1:18" ht="15" hidden="1" customHeight="1" x14ac:dyDescent="0.3">
      <c r="B95" s="41"/>
      <c r="F95" s="41"/>
      <c r="G95" s="41"/>
      <c r="H95" s="41"/>
      <c r="I95" s="41"/>
      <c r="J95" s="41"/>
      <c r="L95" s="41"/>
      <c r="M95" s="41"/>
      <c r="N95" s="67"/>
    </row>
    <row r="96" spans="1:18" ht="15" hidden="1" customHeight="1" x14ac:dyDescent="0.3">
      <c r="B96" s="41"/>
      <c r="F96" s="41"/>
      <c r="G96" s="41"/>
      <c r="H96" s="41"/>
      <c r="I96" s="41"/>
      <c r="J96" s="41"/>
      <c r="L96" s="41"/>
      <c r="M96" s="41"/>
      <c r="N96" s="67"/>
    </row>
    <row r="97" spans="2:14" ht="15" hidden="1" customHeight="1" x14ac:dyDescent="0.3">
      <c r="B97" s="41"/>
      <c r="F97" s="41"/>
      <c r="G97" s="41"/>
      <c r="H97" s="41"/>
      <c r="I97" s="41"/>
      <c r="J97" s="41"/>
      <c r="L97" s="41"/>
      <c r="M97" s="41"/>
      <c r="N97" s="67"/>
    </row>
    <row r="98" spans="2:14" ht="15" hidden="1" customHeight="1" x14ac:dyDescent="0.3">
      <c r="B98" s="41"/>
      <c r="F98" s="41"/>
      <c r="G98" s="41"/>
      <c r="H98" s="41"/>
      <c r="I98" s="41"/>
      <c r="J98" s="41"/>
      <c r="L98" s="41"/>
      <c r="M98" s="41"/>
      <c r="N98" s="67"/>
    </row>
    <row r="99" spans="2:14" ht="15" hidden="1" customHeight="1" x14ac:dyDescent="0.3">
      <c r="B99" s="41"/>
      <c r="F99" s="41"/>
      <c r="G99" s="41"/>
      <c r="H99" s="41"/>
      <c r="I99" s="41"/>
      <c r="J99" s="41"/>
      <c r="L99" s="41"/>
      <c r="M99" s="41"/>
      <c r="N99" s="67"/>
    </row>
    <row r="100" spans="2:14" ht="15" hidden="1" customHeight="1" x14ac:dyDescent="0.3">
      <c r="B100" s="41"/>
      <c r="F100" s="41"/>
      <c r="G100" s="41"/>
      <c r="H100" s="41"/>
      <c r="I100" s="41"/>
      <c r="J100" s="41"/>
      <c r="L100" s="41"/>
      <c r="M100" s="41"/>
      <c r="N100" s="67"/>
    </row>
    <row r="101" spans="2:14" ht="15" hidden="1" customHeight="1" x14ac:dyDescent="0.3">
      <c r="B101" s="41"/>
      <c r="F101" s="41"/>
      <c r="G101" s="41"/>
      <c r="H101" s="41"/>
      <c r="I101" s="41"/>
      <c r="J101" s="41"/>
      <c r="L101" s="41"/>
      <c r="M101" s="41"/>
      <c r="N101" s="67"/>
    </row>
    <row r="102" spans="2:14" ht="15" hidden="1" customHeight="1" x14ac:dyDescent="0.3">
      <c r="B102" s="41"/>
      <c r="F102" s="41"/>
      <c r="G102" s="41"/>
      <c r="H102" s="41"/>
      <c r="I102" s="41"/>
      <c r="J102" s="41"/>
      <c r="L102" s="41"/>
      <c r="M102" s="41"/>
      <c r="N102" s="67"/>
    </row>
    <row r="103" spans="2:14" ht="15" hidden="1" customHeight="1" x14ac:dyDescent="0.3">
      <c r="B103" s="41"/>
      <c r="F103" s="41"/>
      <c r="G103" s="41"/>
      <c r="H103" s="41"/>
      <c r="I103" s="41"/>
      <c r="J103" s="41"/>
      <c r="L103" s="41"/>
      <c r="M103" s="41"/>
      <c r="N103" s="67"/>
    </row>
    <row r="104" spans="2:14" ht="15" hidden="1" customHeight="1" x14ac:dyDescent="0.3">
      <c r="B104" s="41"/>
      <c r="F104" s="41"/>
      <c r="G104" s="41"/>
      <c r="H104" s="41"/>
      <c r="I104" s="41"/>
      <c r="J104" s="41"/>
      <c r="L104" s="41"/>
      <c r="M104" s="41"/>
      <c r="N104" s="67"/>
    </row>
    <row r="105" spans="2:14" ht="15" hidden="1" customHeight="1" x14ac:dyDescent="0.3">
      <c r="B105" s="43"/>
      <c r="F105" s="43"/>
      <c r="G105" s="43"/>
      <c r="H105" s="43"/>
      <c r="I105" s="43"/>
      <c r="J105" s="43"/>
      <c r="L105" s="43"/>
      <c r="M105" s="43"/>
      <c r="N105" s="43"/>
    </row>
    <row r="106" spans="2:14" ht="15" customHeight="1" x14ac:dyDescent="0.3"/>
    <row r="107" spans="2:14" ht="15" customHeight="1" x14ac:dyDescent="0.3"/>
  </sheetData>
  <mergeCells count="1">
    <mergeCell ref="B1:Q1"/>
  </mergeCells>
  <dataValidations count="1">
    <dataValidation allowBlank="1" showErrorMessage="1" sqref="D3 B1:Q1" xr:uid="{99943E31-2384-4253-8CB8-5B2CC13E8ECD}"/>
  </dataValidations>
  <pageMargins left="0.51180555555555496" right="0.51180555555555496" top="0.78749999999999998" bottom="0.78749999999999998" header="0" footer="0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702D54F6-8562-4113-8B4F-88B54B77E11F}">
          <x14:formula1>
            <xm:f>'Base de dados'!$B$7:$B$34</xm:f>
          </x14:formula1>
          <xm:sqref>D2 D5:D1048576</xm:sqref>
        </x14:dataValidation>
        <x14:dataValidation type="list" allowBlank="1" showInputMessage="1" showErrorMessage="1" xr:uid="{0F1B4934-BE50-403A-92D2-A300811B9663}">
          <x14:formula1>
            <xm:f>'Base de dados'!$D$7:$D$34</xm:f>
          </x14:formula1>
          <xm:sqref>C11:C80</xm:sqref>
        </x14:dataValidation>
        <x14:dataValidation type="list" allowBlank="1" showInputMessage="1" showErrorMessage="1" xr:uid="{65434DD7-5098-4A50-9074-2F63645BA22A}">
          <x14:formula1>
            <xm:f>'Base de dados'!$E$7:$E$34</xm:f>
          </x14:formula1>
          <xm:sqref>P5:P80</xm:sqref>
        </x14:dataValidation>
        <x14:dataValidation type="list" allowBlank="1" showInputMessage="1" showErrorMessage="1" xr:uid="{2797DEBC-1338-4B23-BADC-757A7FA18163}">
          <x14:formula1>
            <xm:f>'Base de dados'!$C$7:$C$31</xm:f>
          </x14:formula1>
          <xm:sqref>F5:F104</xm:sqref>
        </x14:dataValidation>
        <x14:dataValidation type="list" allowBlank="1" showInputMessage="1" showErrorMessage="1" xr:uid="{A6692CA4-C807-414D-9145-F2ECFEB09F9F}">
          <x14:formula1>
            <xm:f>'Base de dados'!$D$7:$D$17</xm:f>
          </x14:formula1>
          <xm:sqref>C5:C10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A9A3-A794-41E2-A779-33761A0FE17F}">
  <dimension ref="A1:S201"/>
  <sheetViews>
    <sheetView workbookViewId="0">
      <selection activeCell="J197" sqref="J197"/>
    </sheetView>
  </sheetViews>
  <sheetFormatPr defaultColWidth="0" defaultRowHeight="14" zeroHeight="1" x14ac:dyDescent="0.3"/>
  <cols>
    <col min="1" max="1" width="2.6640625" style="86" customWidth="1"/>
    <col min="2" max="2" width="21.9140625" style="86" bestFit="1" customWidth="1"/>
    <col min="3" max="3" width="5.4140625" style="92" customWidth="1"/>
    <col min="4" max="4" width="16.6640625" style="86" bestFit="1" customWidth="1"/>
    <col min="5" max="5" width="13.33203125" style="39" bestFit="1" customWidth="1"/>
    <col min="6" max="6" width="18.33203125" style="86" bestFit="1" customWidth="1"/>
    <col min="7" max="7" width="2.25" style="86" customWidth="1"/>
    <col min="8" max="8" width="8.6640625" style="86" customWidth="1"/>
    <col min="9" max="10" width="13.83203125" style="107" customWidth="1"/>
    <col min="11" max="11" width="13.83203125" style="86" customWidth="1"/>
    <col min="12" max="12" width="1.6640625" style="86" customWidth="1"/>
    <col min="13" max="19" width="0" style="86" hidden="1" customWidth="1"/>
    <col min="20" max="16384" width="8.6640625" style="86" hidden="1"/>
  </cols>
  <sheetData>
    <row r="1" spans="2:19" s="50" customFormat="1" ht="46.5" customHeight="1" x14ac:dyDescent="0.3">
      <c r="B1" s="151" t="s">
        <v>81</v>
      </c>
      <c r="C1" s="151"/>
      <c r="D1" s="151"/>
      <c r="E1" s="151"/>
      <c r="F1" s="151"/>
      <c r="G1" s="151"/>
      <c r="H1" s="151"/>
      <c r="I1" s="151"/>
      <c r="J1" s="151"/>
      <c r="K1" s="151"/>
      <c r="L1" s="3"/>
      <c r="M1" s="3"/>
      <c r="N1" s="3"/>
      <c r="O1" s="3"/>
      <c r="P1" s="3"/>
      <c r="Q1" s="3"/>
      <c r="R1" s="3"/>
      <c r="S1" s="22"/>
    </row>
    <row r="2" spans="2:19" x14ac:dyDescent="0.3"/>
    <row r="3" spans="2:19" ht="20.5" customHeight="1" x14ac:dyDescent="0.3">
      <c r="B3" s="165" t="s">
        <v>82</v>
      </c>
      <c r="C3" s="159"/>
      <c r="D3" s="159"/>
      <c r="E3" s="159"/>
      <c r="F3" s="160"/>
      <c r="G3" s="112"/>
      <c r="H3" s="158" t="s">
        <v>83</v>
      </c>
      <c r="I3" s="159"/>
      <c r="J3" s="159"/>
      <c r="K3" s="160"/>
    </row>
    <row r="4" spans="2:19" s="53" customFormat="1" ht="49.5" customHeight="1" x14ac:dyDescent="0.3">
      <c r="B4" s="161" t="s">
        <v>92</v>
      </c>
      <c r="C4" s="162"/>
      <c r="D4" s="59" t="s">
        <v>93</v>
      </c>
      <c r="E4" s="59" t="s">
        <v>80</v>
      </c>
      <c r="F4" s="109" t="s">
        <v>100</v>
      </c>
      <c r="G4" s="113"/>
      <c r="H4" s="163" t="s">
        <v>79</v>
      </c>
      <c r="I4" s="164"/>
      <c r="J4" s="115" t="s">
        <v>98</v>
      </c>
      <c r="K4" s="114" t="s">
        <v>97</v>
      </c>
    </row>
    <row r="5" spans="2:19" s="87" customFormat="1" ht="20" customHeight="1" x14ac:dyDescent="0.3">
      <c r="B5" s="88" t="str" cm="1">
        <f t="array" ref="B5">IFERROR(
  INDEX('Visão geral'!$C$5:$C$1000,
         MATCH(0,
                 IF('Visão geral'!$C$5:$C$1000&lt;&gt;"",
                    COUNTIF($B$4:B4,'Visão geral'!$C$5:$C$1000),
                 ""),
         0)
  ),
"")</f>
        <v>Analista</v>
      </c>
      <c r="C5" s="93">
        <f>IF(B5="","",SUMIF('Visão geral'!$C$5:$C$1000,B5,'Visão geral'!$G$5:$G$1000))</f>
        <v>2</v>
      </c>
      <c r="D5" s="94">
        <f>IF(B5="","",SUMIF('Visão geral'!$C$5:$C$1000,B5,'Visão geral'!$I$5:$I$1000))</f>
        <v>138</v>
      </c>
      <c r="E5" s="95">
        <f>IF(B5="","",AVERAGEIF('Visão geral'!$C$5:$C$1000, B5, 'Visão geral'!$N$5:$N$1000))</f>
        <v>19</v>
      </c>
      <c r="F5" s="96">
        <f>IF(B5="","",AVERAGEIF('Visão geral'!$C$5:$C$1000,B5,'Visão geral'!$O$5:$O$1000))</f>
        <v>817.5</v>
      </c>
      <c r="H5" s="83" t="str">
        <f t="array" ref="H5">IFERROR(
  INDEX('Visão geral'!$F$5:$F$1000,
         MATCH(0,
                 IF('Visão geral'!$F$5:$F$1000&lt;&gt;"",
                    COUNTIF($H$4:H4,'Visão geral'!$F$5:$F$1000),
                 ""),
         0)
  ),
"")</f>
        <v>Marina</v>
      </c>
      <c r="I5" s="110">
        <f>IF(H5="","",SUMIF('Visão geral'!$F$5:$F$1000,H5,'Visão geral'!$G$5:$G$1000))</f>
        <v>2</v>
      </c>
      <c r="J5" s="97">
        <f>IF(B5="","",SUMIFS('Visão geral'!$H$5:$H$1000, 'Visão geral'!$C$5:$C$1000, B5, 'Visão geral'!$P$5:$P$1000, "Fechada"))</f>
        <v>2</v>
      </c>
      <c r="K5" s="111">
        <f>IF(B5="","",(J5/I5))</f>
        <v>1</v>
      </c>
    </row>
    <row r="6" spans="2:19" s="87" customFormat="1" ht="20" customHeight="1" x14ac:dyDescent="0.3">
      <c r="B6" s="88" t="str">
        <f t="array" ref="B6">IFERROR(
  INDEX('Visão geral'!$C$5:$C$1000,
         MATCH(0,
                 IF('Visão geral'!$C$5:$C$1000&lt;&gt;"",
                    COUNTIF($B$4:B5,'Visão geral'!$C$5:$C$1000),
                 ""),
         0)
  ),
"")</f>
        <v>Assistente</v>
      </c>
      <c r="C6" s="93">
        <f>IF(B6="","",SUMIF('Visão geral'!$C$5:$C$1000,B6,'Visão geral'!$G$5:$G$1000))</f>
        <v>3</v>
      </c>
      <c r="D6" s="97">
        <f>IF(B6="","",SUMIF('Visão geral'!$C$5:$C$1000,B6,'Visão geral'!$I$5:$I$1000))</f>
        <v>152</v>
      </c>
      <c r="E6" s="98">
        <f>IF(B6="","",AVERAGEIF('Visão geral'!$C$5:$C$1000, B6, 'Visão geral'!$N$5:$N$1000))</f>
        <v>11</v>
      </c>
      <c r="F6" s="99">
        <f>IF(B6="","",AVERAGEIF('Visão geral'!$C$5:$C$1000,B6,'Visão geral'!$O$5:$O$1000))</f>
        <v>0</v>
      </c>
      <c r="H6" s="83" t="str">
        <f t="array" ref="H6">IFERROR(
  INDEX('Visão geral'!$F$5:$F$1000,
         MATCH(0,
                 IF('Visão geral'!$F$5:$F$1000&lt;&gt;"",
                    COUNTIF($H$4:H5,'Visão geral'!$F$5:$F$1000),
                 ""),
         0)
  ),
"")</f>
        <v>Jéssica</v>
      </c>
      <c r="I6" s="110">
        <f>IF(H6="","",SUMIF('Visão geral'!$F$5:$F$1000,H6,'Visão geral'!$G$5:$G$1000))</f>
        <v>3</v>
      </c>
      <c r="J6" s="97">
        <f>IF(B6="","",SUMIFS('Visão geral'!$H$5:$H$1000, 'Visão geral'!$C$5:$C$1000, B6, 'Visão geral'!$P$5:$P$1000, "Fechada"))</f>
        <v>2</v>
      </c>
      <c r="K6" s="111">
        <f t="shared" ref="K6:K14" si="0">IF(B6="","",(J6/I6))</f>
        <v>0.66666666666666663</v>
      </c>
    </row>
    <row r="7" spans="2:19" s="87" customFormat="1" ht="20" customHeight="1" x14ac:dyDescent="0.3">
      <c r="B7" s="89" t="str">
        <f t="array" ref="B7">IFERROR(
  INDEX('Visão geral'!$C$5:$C$1000,
         MATCH(0,
                 IF('Visão geral'!$C$5:$C$1000&lt;&gt;"",
                    COUNTIF($B$4:B6,'Visão geral'!$C$5:$C$1000),
                 ""),
         0)
  ),
"")</f>
        <v>Gerente</v>
      </c>
      <c r="C7" s="93">
        <f>IF(B7="","",SUMIF('Visão geral'!$C$5:$C$1000,B7,'Visão geral'!$G$5:$G$1000))</f>
        <v>1</v>
      </c>
      <c r="D7" s="97">
        <f>IF(B7="","",SUMIF('Visão geral'!$C$5:$C$1000,B7,'Visão geral'!$I$5:$I$1000))</f>
        <v>32</v>
      </c>
      <c r="E7" s="98">
        <f>IF(B7="","",AVERAGEIF('Visão geral'!$C$5:$C$1000, B7, 'Visão geral'!$N$5:$N$1000))</f>
        <v>30</v>
      </c>
      <c r="F7" s="99">
        <f>IF(B7="","",AVERAGEIF('Visão geral'!$C$5:$C$1000,B7,'Visão geral'!$O$5:$O$1000))</f>
        <v>3000</v>
      </c>
      <c r="H7" s="83" t="str">
        <f t="array" ref="H7">IFERROR(
  INDEX('Visão geral'!$F$5:$F$1000,
         MATCH(0,
                 IF('Visão geral'!$F$5:$F$1000&lt;&gt;"",
                    COUNTIF($H$4:H6,'Visão geral'!$F$5:$F$1000),
                 ""),
         0)
  ),
"")</f>
        <v>Joice</v>
      </c>
      <c r="I7" s="110">
        <f>IF(H7="","",SUMIF('Visão geral'!$F$5:$F$1000,H7,'Visão geral'!$G$5:$G$1000))</f>
        <v>1</v>
      </c>
      <c r="J7" s="97">
        <f>IF(B7="","",SUMIFS('Visão geral'!$H$5:$H$1000, 'Visão geral'!$C$5:$C$1000, B7, 'Visão geral'!$P$5:$P$1000, "Fechada"))</f>
        <v>0</v>
      </c>
      <c r="K7" s="111">
        <f t="shared" si="0"/>
        <v>0</v>
      </c>
    </row>
    <row r="8" spans="2:19" s="87" customFormat="1" ht="20" customHeight="1" x14ac:dyDescent="0.3">
      <c r="B8" s="88" t="str">
        <f t="array" ref="B8">IFERROR(
  INDEX('Visão geral'!$C$5:$C$1000,
         MATCH(0,
                 IF('Visão geral'!$C$5:$C$1000&lt;&gt;"",
                    COUNTIF($B$4:B7,'Visão geral'!$C$5:$C$1000),
                 ""),
         0)
  ),
"")</f>
        <v/>
      </c>
      <c r="C8" s="93" t="str">
        <f>IF(B8="","",SUMIF('Visão geral'!$C$5:$C$1000,B8,'Visão geral'!$G$5:$G$1000))</f>
        <v/>
      </c>
      <c r="D8" s="97" t="str">
        <f>IF(B8="","",SUMIF('Visão geral'!$C$5:$C$1000,B8,'Visão geral'!$I$5:$I$1000))</f>
        <v/>
      </c>
      <c r="E8" s="98" t="str">
        <f>IF(B8="","",AVERAGEIF('Visão geral'!$C$5:$C$1000, B8, 'Visão geral'!$N$5:$N$1000))</f>
        <v/>
      </c>
      <c r="F8" s="99" t="str">
        <f>IF(B8="","",AVERAGEIF('Visão geral'!$C$5:$C$1000,B8,'Visão geral'!$O$5:$O$1000))</f>
        <v/>
      </c>
      <c r="H8" s="83" t="str">
        <f t="array" ref="H8">IFERROR(
  INDEX('Visão geral'!$F$5:$F$1000,
         MATCH(0,
                 IF('Visão geral'!$F$5:$F$1000&lt;&gt;"",
                    COUNTIF($H$4:H7,'Visão geral'!$F$5:$F$1000),
                 ""),
         0)
  ),
"")</f>
        <v/>
      </c>
      <c r="I8" s="88" t="str">
        <f>IF(H8="","",SUMIF('Visão geral'!$F$5:$F$1000,H8,'Visão geral'!$G$5:$G$1000))</f>
        <v/>
      </c>
      <c r="J8" s="83" t="str">
        <f>IF(B8="","",SUMIFS('Visão geral'!$H$5:$H$1000, 'Visão geral'!$C$5:$C$1000, B8, 'Visão geral'!$P$5:$P$1000, "Fechada"))</f>
        <v/>
      </c>
      <c r="K8" s="108" t="str">
        <f t="shared" si="0"/>
        <v/>
      </c>
    </row>
    <row r="9" spans="2:19" s="87" customFormat="1" ht="20" customHeight="1" x14ac:dyDescent="0.3">
      <c r="B9" s="88" t="str">
        <f t="array" ref="B9">IFERROR(
  INDEX('Visão geral'!$C$5:$C$1000,
         MATCH(0,
                 IF('Visão geral'!$C$5:$C$1000&lt;&gt;"",
                    COUNTIF($B$4:B8,'Visão geral'!$C$5:$C$1000),
                 ""),
         0)
  ),
"")</f>
        <v/>
      </c>
      <c r="C9" s="93" t="str">
        <f>IF(B9="","",SUMIF('Visão geral'!$C$5:$C$1000,B9,'Visão geral'!$G$5:$G$1000))</f>
        <v/>
      </c>
      <c r="D9" s="83" t="str">
        <f>IF(B9="","",SUMIF('Visão geral'!$C$5:$C$1000,B9,'Visão geral'!$I$5:$I$1000))</f>
        <v/>
      </c>
      <c r="E9" s="84" t="str">
        <f>IF(B9="","",AVERAGEIF('Visão geral'!$C$5:$C$1000, B9, 'Visão geral'!$N$5:$N$1000))</f>
        <v/>
      </c>
      <c r="F9" s="85" t="str">
        <f>IF(B9="","",AVERAGEIF('Visão geral'!$C$5:$C$1000,B9,'Visão geral'!$O$5:$O$1000))</f>
        <v/>
      </c>
      <c r="H9" s="83" t="str">
        <f t="array" ref="H9">IFERROR(
  INDEX('Visão geral'!$F$5:$F$1000,
         MATCH(0,
                 IF('Visão geral'!$F$5:$F$1000&lt;&gt;"",
                    COUNTIF($H$4:H8,'Visão geral'!$F$5:$F$1000),
                 ""),
         0)
  ),
"")</f>
        <v/>
      </c>
      <c r="I9" s="88" t="str">
        <f>IF(H9="","",SUMIF('Visão geral'!$F$5:$F$1000,H9,'Visão geral'!$G$5:$G$1000))</f>
        <v/>
      </c>
      <c r="J9" s="83" t="str">
        <f>IF(B9="","",SUMIFS('Visão geral'!$H$5:$H$1000, 'Visão geral'!$C$5:$C$1000, B9, 'Visão geral'!$P$5:$P$1000, "Fechada"))</f>
        <v/>
      </c>
      <c r="K9" s="108" t="str">
        <f t="shared" si="0"/>
        <v/>
      </c>
    </row>
    <row r="10" spans="2:19" s="87" customFormat="1" ht="20" customHeight="1" x14ac:dyDescent="0.3">
      <c r="B10" s="90" t="str">
        <f t="array" ref="B10">IFERROR(
  INDEX('Visão geral'!$C$5:$C$1000,
         MATCH(0,
                 IF('Visão geral'!$C$5:$C$1000&lt;&gt;"",
                    COUNTIF($B$4:B9,'Visão geral'!$C$5:$C$1000),
                 ""),
         0)
  ),
"")</f>
        <v/>
      </c>
      <c r="C10" s="93" t="str">
        <f>IF(B10="","",SUMIF('Visão geral'!$C$5:$C$1000,B10,'Visão geral'!$G$5:$G$1000))</f>
        <v/>
      </c>
      <c r="D10" s="83" t="str">
        <f>IF(B10="","",SUMIF('Visão geral'!$C$5:$C$1000,B10,'Visão geral'!$I$5:$I$1000))</f>
        <v/>
      </c>
      <c r="E10" s="84" t="str">
        <f>IF(B10="","",AVERAGEIF('Visão geral'!$C$5:$C$1000, B10, 'Visão geral'!$N$5:$N$1000))</f>
        <v/>
      </c>
      <c r="F10" s="85" t="str">
        <f>IF(B10="","",AVERAGEIF('Visão geral'!$C$5:$C$1000,B10,'Visão geral'!$O$5:$O$1000))</f>
        <v/>
      </c>
      <c r="H10" s="83" t="str">
        <f t="array" ref="H10">IFERROR(
  INDEX('Visão geral'!$F$5:$F$1000,
         MATCH(0,
                 IF('Visão geral'!$F$5:$F$1000&lt;&gt;"",
                    COUNTIF($H$4:H9,'Visão geral'!$F$5:$F$1000),
                 ""),
         0)
  ),
"")</f>
        <v/>
      </c>
      <c r="I10" s="88" t="str">
        <f>IF(H10="","",SUMIF('Visão geral'!$F$5:$F$1000,H10,'Visão geral'!$G$5:$G$1000))</f>
        <v/>
      </c>
      <c r="J10" s="83" t="str">
        <f>IF(B10="","",SUMIFS('Visão geral'!$H$5:$H$1000, 'Visão geral'!$C$5:$C$1000, B10, 'Visão geral'!$P$5:$P$1000, "Fechada"))</f>
        <v/>
      </c>
      <c r="K10" s="108" t="str">
        <f t="shared" si="0"/>
        <v/>
      </c>
    </row>
    <row r="11" spans="2:19" s="87" customFormat="1" ht="20" customHeight="1" x14ac:dyDescent="0.3">
      <c r="B11" s="88" t="str">
        <f t="array" ref="B11">IFERROR(
  INDEX('Visão geral'!$C$5:$C$1000,
         MATCH(0,
                 IF('Visão geral'!$C$5:$C$1000&lt;&gt;"",
                    COUNTIF($B$4:B10,'Visão geral'!$C$5:$C$1000),
                 ""),
         0)
  ),
"")</f>
        <v/>
      </c>
      <c r="C11" s="93" t="str">
        <f>IF(B11="","",SUMIF('Visão geral'!$C$5:$C$1000,B11,'Visão geral'!$G$5:$G$1000))</f>
        <v/>
      </c>
      <c r="D11" s="83" t="str">
        <f>IF(B11="","",SUMIF('Visão geral'!$C$5:$C$1000,B11,'Visão geral'!$I$5:$I$1000))</f>
        <v/>
      </c>
      <c r="E11" s="84" t="str">
        <f>IF(B11="","",AVERAGEIF('Visão geral'!$C$5:$C$1000, B11, 'Visão geral'!$N$5:$N$1000))</f>
        <v/>
      </c>
      <c r="F11" s="85" t="str">
        <f>IF(B11="","",AVERAGEIF('Visão geral'!$C$5:$C$1000,B11,'Visão geral'!$O$5:$O$1000))</f>
        <v/>
      </c>
      <c r="H11" s="83" t="str">
        <f t="array" ref="H11">IFERROR(
  INDEX('Visão geral'!$F$5:$F$1000,
         MATCH(0,
                 IF('Visão geral'!$F$5:$F$1000&lt;&gt;"",
                    COUNTIF($H$4:H10,'Visão geral'!$F$5:$F$1000),
                 ""),
         0)
  ),
"")</f>
        <v/>
      </c>
      <c r="I11" s="88"/>
      <c r="J11" s="83" t="str">
        <f>IF(B11="","",SUMIFS('Visão geral'!$H$5:$H$1000, 'Visão geral'!$C$5:$C$1000, B11, 'Visão geral'!$P$5:$P$1000, "Fechada"))</f>
        <v/>
      </c>
      <c r="K11" s="108" t="str">
        <f t="shared" si="0"/>
        <v/>
      </c>
    </row>
    <row r="12" spans="2:19" s="87" customFormat="1" ht="20" customHeight="1" x14ac:dyDescent="0.3">
      <c r="B12" s="88" t="str">
        <f t="array" ref="B12">IFERROR(
  INDEX('Visão geral'!$C$5:$C$1000,
         MATCH(0,
                 IF('Visão geral'!$C$5:$C$1000&lt;&gt;"",
                    COUNTIF($B$4:B11,'Visão geral'!$C$5:$C$1000),
                 ""),
         0)
  ),
"")</f>
        <v/>
      </c>
      <c r="C12" s="93" t="str">
        <f>IF(B12="","",SUMIF('Visão geral'!$C$5:$C$1000,B12,'Visão geral'!$G$5:$G$1000))</f>
        <v/>
      </c>
      <c r="D12" s="83" t="str">
        <f>IF(B12="","",SUMIF('Visão geral'!$C$5:$C$1000,B12,'Visão geral'!$I$5:$I$1000))</f>
        <v/>
      </c>
      <c r="E12" s="84" t="str">
        <f>IF(B12="","",AVERAGEIF('Visão geral'!$C$5:$C$1000, B12, 'Visão geral'!$N$5:$N$1000))</f>
        <v/>
      </c>
      <c r="F12" s="85" t="str">
        <f>IF(B12="","",AVERAGEIF('Visão geral'!$C$5:$C$1000,B12,'Visão geral'!$O$5:$O$1000))</f>
        <v/>
      </c>
      <c r="H12" s="83" t="str">
        <f t="array" ref="H12">IFERROR(
  INDEX('Visão geral'!$F$5:$F$1000,
         MATCH(0,
                 IF('Visão geral'!$F$5:$F$1000&lt;&gt;"",
                    COUNTIF($H$4:H11,'Visão geral'!$F$5:$F$1000),
                 ""),
         0)
  ),
"")</f>
        <v/>
      </c>
      <c r="I12" s="88"/>
      <c r="J12" s="83" t="str">
        <f>IF(B12="","",SUMIFS('Visão geral'!$H$5:$H$1000, 'Visão geral'!$C$5:$C$1000, B12, 'Visão geral'!$P$5:$P$1000, "Fechada"))</f>
        <v/>
      </c>
      <c r="K12" s="108" t="str">
        <f t="shared" si="0"/>
        <v/>
      </c>
    </row>
    <row r="13" spans="2:19" s="87" customFormat="1" ht="20" customHeight="1" x14ac:dyDescent="0.3">
      <c r="B13" s="91" t="str">
        <f t="array" ref="B13">IFERROR(
  INDEX('Visão geral'!$C$5:$C$1000,
         MATCH(0,
                 IF('Visão geral'!$C$5:$C$1000&lt;&gt;"",
                    COUNTIF($B$4:B12,'Visão geral'!$C$5:$C$1000),
                 ""),
         0)
  ),
"")</f>
        <v/>
      </c>
      <c r="C13" s="93" t="str">
        <f>IF(B13="","",SUMIF('Visão geral'!$C$5:$C$1000,B13,'Visão geral'!$G$5:$G$1000))</f>
        <v/>
      </c>
      <c r="D13" s="83" t="str">
        <f>IF(B13="","",SUMIF('Visão geral'!$C$5:$C$1000,B13,'Visão geral'!$I$5:$I$1000))</f>
        <v/>
      </c>
      <c r="E13" s="84" t="str">
        <f>IF(B13="","",AVERAGEIF('Visão geral'!$C$5:$C$1000, B13, 'Visão geral'!$N$5:$N$1000))</f>
        <v/>
      </c>
      <c r="F13" s="85" t="str">
        <f>IF(B13="","",AVERAGEIF('Visão geral'!$C$5:$C$1000,B13,'Visão geral'!$O$5:$O$1000))</f>
        <v/>
      </c>
      <c r="H13" s="83" t="str">
        <f t="array" ref="H13">IFERROR(
  INDEX('Visão geral'!$F$5:$F$1000,
         MATCH(0,
                 IF('Visão geral'!$F$5:$F$1000&lt;&gt;"",
                    COUNTIF($H$4:H12,'Visão geral'!$F$5:$F$1000),
                 ""),
         0)
  ),
"")</f>
        <v/>
      </c>
      <c r="I13" s="88"/>
      <c r="J13" s="83" t="str">
        <f>IF(B13="","",SUMIFS('Visão geral'!$H$5:$H$1000, 'Visão geral'!$C$5:$C$1000, B13, 'Visão geral'!$P$5:$P$1000, "Fechada"))</f>
        <v/>
      </c>
      <c r="K13" s="108" t="str">
        <f t="shared" si="0"/>
        <v/>
      </c>
    </row>
    <row r="14" spans="2:19" s="87" customFormat="1" ht="20" customHeight="1" x14ac:dyDescent="0.3">
      <c r="B14" s="88" t="str">
        <f t="array" ref="B14">IFERROR(
  INDEX('Visão geral'!$C$5:$C$1000,
         MATCH(0,
                 IF('Visão geral'!$C$5:$C$1000&lt;&gt;"",
                    COUNTIF($B$4:B13,'Visão geral'!$C$5:$C$1000),
                 ""),
         0)
  ),
"")</f>
        <v/>
      </c>
      <c r="C14" s="93" t="str">
        <f>IF(B14="","",SUMIF('Visão geral'!$C$5:$C$1000,B14,'Visão geral'!$G$5:$G$1000))</f>
        <v/>
      </c>
      <c r="D14" s="83" t="str">
        <f>IF(B14="","",SUMIF('Visão geral'!$C$5:$C$1000,B14,'Visão geral'!$I$5:$I$1000))</f>
        <v/>
      </c>
      <c r="E14" s="84" t="str">
        <f>IF(B14="","",AVERAGEIF('Visão geral'!$C$5:$C$1000, B14, 'Visão geral'!$N$5:$N$1000))</f>
        <v/>
      </c>
      <c r="F14" s="85" t="str">
        <f>IF(B14="","",AVERAGEIF('Visão geral'!$C$5:$C$1000,B14,'Visão geral'!$O$5:$O$1000))</f>
        <v/>
      </c>
      <c r="H14" s="83" t="str">
        <f t="array" ref="H14">IFERROR(
  INDEX('Visão geral'!$F$5:$F$1000,
         MATCH(0,
                 IF('Visão geral'!$F$5:$F$1000&lt;&gt;"",
                    COUNTIF($H$4:H13,'Visão geral'!$F$5:$F$1000),
                 ""),
         0)
  ),
"")</f>
        <v/>
      </c>
      <c r="I14" s="88"/>
      <c r="J14" s="83" t="str">
        <f>IF(B14="","",SUMIFS('Visão geral'!$H$5:$H$1000, 'Visão geral'!$C$5:$C$1000, B14, 'Visão geral'!$P$5:$P$1000, "Fechada"))</f>
        <v/>
      </c>
      <c r="K14" s="108" t="str">
        <f t="shared" si="0"/>
        <v/>
      </c>
    </row>
    <row r="15" spans="2:19" s="87" customFormat="1" ht="20" customHeight="1" x14ac:dyDescent="0.3">
      <c r="B15" s="88" t="str">
        <f t="array" ref="B15">IFERROR(
  INDEX('Visão geral'!$C$5:$C$1000,
         MATCH(0,
                 IF('Visão geral'!$C$5:$C$1000&lt;&gt;"",
                    COUNTIF($B$4:B14,'Visão geral'!$C$5:$C$1000),
                 ""),
         0)
  ),
"")</f>
        <v/>
      </c>
      <c r="C15" s="93" t="str">
        <f>IF(B15="","",SUMIF('Visão geral'!$C$5:$C$1000,B15,'Visão geral'!$G$5:$G$1000))</f>
        <v/>
      </c>
      <c r="D15" s="83" t="str">
        <f>IF(B15="","",SUMIF('Visão geral'!$C$5:$C$1000,B15,'Visão geral'!$I$5:$I$1000))</f>
        <v/>
      </c>
      <c r="E15" s="84" t="str">
        <f>IF(B15="","",AVERAGEIF('Visão geral'!$C$5:$C$1000, B15, 'Visão geral'!$N$5:$N$1000))</f>
        <v/>
      </c>
      <c r="F15" s="85" t="str">
        <f>IF(B15="","",AVERAGEIF('Visão geral'!$C$5:$C$1000,B15,'Visão geral'!$O$5:$O$1000))</f>
        <v/>
      </c>
      <c r="H15" s="83"/>
      <c r="I15" s="88"/>
      <c r="J15" s="83"/>
      <c r="K15" s="83"/>
    </row>
    <row r="16" spans="2:19" s="87" customFormat="1" ht="20" customHeight="1" x14ac:dyDescent="0.3">
      <c r="B16" s="90" t="str">
        <f t="array" ref="B16">IFERROR(
  INDEX('Visão geral'!$C$5:$C$1000,
         MATCH(0,
                 IF('Visão geral'!$C$5:$C$1000&lt;&gt;"",
                    COUNTIF($B$4:B15,'Visão geral'!$C$5:$C$1000),
                 ""),
         0)
  ),
"")</f>
        <v/>
      </c>
      <c r="C16" s="93" t="str">
        <f>IF(B16="","",SUMIF('Visão geral'!$C$5:$C$1000,B16,'Visão geral'!$G$5:$G$1000))</f>
        <v/>
      </c>
      <c r="D16" s="83" t="str">
        <f>IF(B16="","",SUMIF('Visão geral'!$C$5:$C$1000,B16,'Visão geral'!$I$5:$I$1000))</f>
        <v/>
      </c>
      <c r="E16" s="84" t="str">
        <f>IF(B16="","",AVERAGEIF('Visão geral'!$C$5:$C$1000, B16, 'Visão geral'!$N$5:$N$1000))</f>
        <v/>
      </c>
      <c r="F16" s="85" t="str">
        <f>IF(B16="","",AVERAGEIF('Visão geral'!$C$5:$C$1000,B16,'Visão geral'!$O$5:$O$1000))</f>
        <v/>
      </c>
      <c r="H16" s="83"/>
      <c r="I16" s="88"/>
      <c r="J16" s="83"/>
      <c r="K16" s="83"/>
    </row>
    <row r="17" spans="2:11" s="87" customFormat="1" ht="20" customHeight="1" x14ac:dyDescent="0.3">
      <c r="B17" s="88" t="str">
        <f t="array" ref="B17">IFERROR(
  INDEX('Visão geral'!$C$5:$C$1000,
         MATCH(0,
                 IF('Visão geral'!$C$5:$C$1000&lt;&gt;"",
                    COUNTIF($B$4:B16,'Visão geral'!$C$5:$C$1000),
                 ""),
         0)
  ),
"")</f>
        <v/>
      </c>
      <c r="C17" s="93" t="str">
        <f>IF(B17="","",SUMIF('Visão geral'!$C$5:$C$1000,B17,'Visão geral'!$G$5:$G$1000))</f>
        <v/>
      </c>
      <c r="D17" s="83"/>
      <c r="E17" s="83"/>
      <c r="F17" s="83"/>
      <c r="H17" s="83"/>
      <c r="I17" s="88"/>
      <c r="J17" s="83"/>
      <c r="K17" s="83"/>
    </row>
    <row r="18" spans="2:11" s="87" customFormat="1" ht="20" customHeight="1" x14ac:dyDescent="0.3">
      <c r="B18" s="88" t="str">
        <f t="array" ref="B18">IFERROR(
  INDEX('Visão geral'!$C$5:$C$1000,
         MATCH(0,
                 IF('Visão geral'!$C$5:$C$1000&lt;&gt;"",
                    COUNTIF($B$4:B17,'Visão geral'!$C$5:$C$1000),
                 ""),
         0)
  ),
"")</f>
        <v/>
      </c>
      <c r="C18" s="93" t="str">
        <f>IF(B18="","",SUMIF('Visão geral'!$C$5:$C$1000,B18,'Visão geral'!$G$5:$G$1000))</f>
        <v/>
      </c>
      <c r="D18" s="83"/>
      <c r="E18" s="83"/>
      <c r="F18" s="83"/>
      <c r="H18" s="83"/>
      <c r="I18" s="88"/>
      <c r="J18" s="83"/>
      <c r="K18" s="83"/>
    </row>
    <row r="19" spans="2:11" s="87" customFormat="1" ht="20" customHeight="1" x14ac:dyDescent="0.3">
      <c r="B19" s="91" t="str">
        <f t="array" ref="B19">IFERROR(
  INDEX('Visão geral'!$C$5:$C$1000,
         MATCH(0,
                 IF('Visão geral'!$C$5:$C$1000&lt;&gt;"",
                    COUNTIF($B$4:B18,'Visão geral'!$C$5:$C$1000),
                 ""),
         0)
  ),
"")</f>
        <v/>
      </c>
      <c r="C19" s="93" t="str">
        <f>IF(B19="","",SUMIF('Visão geral'!$C$5:$C$1000,B19,'Visão geral'!$G$5:$G$1000))</f>
        <v/>
      </c>
      <c r="D19" s="83"/>
      <c r="E19" s="83"/>
      <c r="F19" s="83"/>
      <c r="H19" s="83"/>
      <c r="I19" s="88"/>
      <c r="J19" s="83"/>
      <c r="K19" s="83"/>
    </row>
    <row r="20" spans="2:11" s="87" customFormat="1" ht="20" customHeight="1" x14ac:dyDescent="0.3">
      <c r="B20" s="88" t="str">
        <f t="array" ref="B20">IFERROR(
  INDEX('Visão geral'!$C$5:$C$1000,
         MATCH(0,
                 IF('Visão geral'!$C$5:$C$1000&lt;&gt;"",
                    COUNTIF($B$4:B19,'Visão geral'!$C$5:$C$1000),
                 ""),
         0)
  ),
"")</f>
        <v/>
      </c>
      <c r="C20" s="93" t="str">
        <f>IF(B20="","",SUMIF('Visão geral'!$C$5:$C$1000,B20,'Visão geral'!$G$5:$G$1000))</f>
        <v/>
      </c>
      <c r="D20" s="83"/>
      <c r="E20" s="83"/>
      <c r="F20" s="83"/>
      <c r="H20" s="83"/>
      <c r="I20" s="88"/>
      <c r="J20" s="83"/>
      <c r="K20" s="83"/>
    </row>
    <row r="21" spans="2:11" s="87" customFormat="1" ht="20" customHeight="1" x14ac:dyDescent="0.3">
      <c r="B21" s="88" t="str">
        <f t="array" ref="B21">IFERROR(
  INDEX('Visão geral'!$C$5:$C$1000,
         MATCH(0,
                 IF('Visão geral'!$C$5:$C$1000&lt;&gt;"",
                    COUNTIF($B$4:B20,'Visão geral'!$C$5:$C$1000),
                 ""),
         0)
  ),
"")</f>
        <v/>
      </c>
      <c r="C21" s="93" t="str">
        <f>IF(B21="","",SUMIF('Visão geral'!$C$5:$C$1000,B21,'Visão geral'!$G$5:$G$1000))</f>
        <v/>
      </c>
      <c r="D21" s="83"/>
      <c r="E21" s="83"/>
      <c r="F21" s="83"/>
      <c r="H21" s="83"/>
      <c r="I21" s="88"/>
      <c r="J21" s="83"/>
      <c r="K21" s="83"/>
    </row>
    <row r="22" spans="2:11" s="87" customFormat="1" ht="20" customHeight="1" x14ac:dyDescent="0.3">
      <c r="B22" s="90" t="str">
        <f t="array" ref="B22">IFERROR(
  INDEX('Visão geral'!$C$5:$C$1000,
         MATCH(0,
                 IF('Visão geral'!$C$5:$C$1000&lt;&gt;"",
                    COUNTIF($B$4:B21,'Visão geral'!$C$5:$C$1000),
                 ""),
         0)
  ),
"")</f>
        <v/>
      </c>
      <c r="C22" s="93" t="str">
        <f>IF(B22="","",SUMIF('Visão geral'!$C$5:$C$1000,B22,'Visão geral'!$G$5:$G$1000))</f>
        <v/>
      </c>
      <c r="D22" s="83"/>
      <c r="E22" s="83"/>
      <c r="F22" s="83"/>
      <c r="H22" s="83"/>
      <c r="I22" s="88"/>
      <c r="J22" s="83"/>
      <c r="K22" s="83"/>
    </row>
    <row r="23" spans="2:11" s="87" customFormat="1" ht="20" customHeight="1" x14ac:dyDescent="0.3">
      <c r="B23" s="88" t="str">
        <f t="array" ref="B23">IFERROR(
  INDEX('Visão geral'!$C$5:$C$1000,
         MATCH(0,
                 IF('Visão geral'!$C$5:$C$1000&lt;&gt;"",
                    COUNTIF($B$4:B22,'Visão geral'!$C$5:$C$1000),
                 ""),
         0)
  ),
"")</f>
        <v/>
      </c>
      <c r="C23" s="93" t="str">
        <f>IF(B23="","",SUMIF('Visão geral'!$C$5:$C$1000,B23,'Visão geral'!$G$5:$G$1000))</f>
        <v/>
      </c>
      <c r="D23" s="83"/>
      <c r="E23" s="83"/>
      <c r="F23" s="83"/>
      <c r="H23" s="83"/>
      <c r="I23" s="88"/>
      <c r="J23" s="83"/>
      <c r="K23" s="83"/>
    </row>
    <row r="24" spans="2:11" s="87" customFormat="1" ht="20" customHeight="1" x14ac:dyDescent="0.3">
      <c r="B24" s="88" t="str">
        <f t="array" ref="B24">IFERROR(
  INDEX('Visão geral'!$C$5:$C$1000,
         MATCH(0,
                 IF('Visão geral'!$C$5:$C$1000&lt;&gt;"",
                    COUNTIF($B$4:B23,'Visão geral'!$C$5:$C$1000),
                 ""),
         0)
  ),
"")</f>
        <v/>
      </c>
      <c r="C24" s="93" t="str">
        <f>IF(B24="","",SUMIF('Visão geral'!$C$5:$C$1000,B24,'Visão geral'!$G$5:$G$1000))</f>
        <v/>
      </c>
      <c r="D24" s="83"/>
      <c r="E24" s="83"/>
      <c r="F24" s="83"/>
      <c r="H24" s="83"/>
      <c r="I24" s="88"/>
      <c r="J24" s="83"/>
      <c r="K24" s="83"/>
    </row>
    <row r="25" spans="2:11" s="87" customFormat="1" ht="20" customHeight="1" x14ac:dyDescent="0.3">
      <c r="B25" s="91" t="str">
        <f t="array" ref="B25">IFERROR(
  INDEX('Visão geral'!$C$5:$C$1000,
         MATCH(0,
                 IF('Visão geral'!$C$5:$C$1000&lt;&gt;"",
                    COUNTIF($B$4:B24,'Visão geral'!$C$5:$C$1000),
                 ""),
         0)
  ),
"")</f>
        <v/>
      </c>
      <c r="C25" s="93" t="str">
        <f>IF(B25="","",SUMIF('Visão geral'!$C$5:$C$1000,B25,'Visão geral'!$G$5:$G$1000))</f>
        <v/>
      </c>
      <c r="D25" s="83"/>
      <c r="E25" s="83"/>
      <c r="F25" s="83"/>
      <c r="H25" s="83"/>
      <c r="I25" s="88"/>
      <c r="J25" s="83"/>
      <c r="K25" s="83"/>
    </row>
    <row r="26" spans="2:11" s="87" customFormat="1" ht="20" customHeight="1" x14ac:dyDescent="0.3">
      <c r="B26" s="88" t="str">
        <f t="array" ref="B26">IFERROR(
  INDEX('Visão geral'!$C$5:$C$1000,
         MATCH(0,
                 IF('Visão geral'!$C$5:$C$1000&lt;&gt;"",
                    COUNTIF($B$4:B25,'Visão geral'!$C$5:$C$1000),
                 ""),
         0)
  ),
"")</f>
        <v/>
      </c>
      <c r="C26" s="93" t="str">
        <f>IF(B26="","",SUMIF('Visão geral'!$C$5:$C$1000,B26,'Visão geral'!$G$5:$G$1000))</f>
        <v/>
      </c>
      <c r="D26" s="83"/>
      <c r="E26" s="83"/>
      <c r="F26" s="83"/>
      <c r="H26" s="83"/>
      <c r="I26" s="88"/>
      <c r="J26" s="83"/>
      <c r="K26" s="83"/>
    </row>
    <row r="27" spans="2:11" s="87" customFormat="1" ht="20" customHeight="1" x14ac:dyDescent="0.3">
      <c r="B27" s="88" t="str">
        <f t="array" ref="B27">IFERROR(
  INDEX('Visão geral'!$C$5:$C$1000,
         MATCH(0,
                 IF('Visão geral'!$C$5:$C$1000&lt;&gt;"",
                    COUNTIF($B$4:B26,'Visão geral'!$C$5:$C$1000),
                 ""),
         0)
  ),
"")</f>
        <v/>
      </c>
      <c r="C27" s="93" t="str">
        <f>IF(B27="","",SUMIF('Visão geral'!$C$5:$C$1000,B27,'Visão geral'!$G$5:$G$1000))</f>
        <v/>
      </c>
      <c r="D27" s="83"/>
      <c r="E27" s="83"/>
      <c r="F27" s="83"/>
      <c r="H27" s="83"/>
      <c r="I27" s="88"/>
      <c r="J27" s="83"/>
      <c r="K27" s="83"/>
    </row>
    <row r="28" spans="2:11" s="87" customFormat="1" ht="20" customHeight="1" x14ac:dyDescent="0.3">
      <c r="B28" s="90" t="str">
        <f t="array" ref="B28">IFERROR(
  INDEX('Visão geral'!$C$5:$C$1000,
         MATCH(0,
                 IF('Visão geral'!$C$5:$C$1000&lt;&gt;"",
                    COUNTIF($B$4:B27,'Visão geral'!$C$5:$C$1000),
                 ""),
         0)
  ),
"")</f>
        <v/>
      </c>
      <c r="C28" s="93" t="str">
        <f>IF(B28="","",SUMIF('Visão geral'!$C$5:$C$1000,B28,'Visão geral'!$G$5:$G$1000))</f>
        <v/>
      </c>
      <c r="D28" s="83"/>
      <c r="E28" s="83"/>
      <c r="F28" s="83"/>
      <c r="H28" s="83"/>
      <c r="I28" s="88"/>
      <c r="J28" s="83"/>
      <c r="K28" s="83"/>
    </row>
    <row r="29" spans="2:11" s="87" customFormat="1" ht="20" customHeight="1" x14ac:dyDescent="0.3">
      <c r="B29" s="88" t="str">
        <f t="array" ref="B29">IFERROR(
  INDEX('Visão geral'!$C$5:$C$1000,
         MATCH(0,
                 IF('Visão geral'!$C$5:$C$1000&lt;&gt;"",
                    COUNTIF($B$4:B28,'Visão geral'!$C$5:$C$1000),
                 ""),
         0)
  ),
"")</f>
        <v/>
      </c>
      <c r="C29" s="93" t="str">
        <f>IF(B29="","",SUMIF('Visão geral'!$C$5:$C$1000,B29,'Visão geral'!$G$5:$G$1000))</f>
        <v/>
      </c>
      <c r="D29" s="83"/>
      <c r="E29" s="83"/>
      <c r="F29" s="83"/>
      <c r="H29" s="83"/>
      <c r="I29" s="88"/>
      <c r="J29" s="83"/>
      <c r="K29" s="83"/>
    </row>
    <row r="30" spans="2:11" s="87" customFormat="1" ht="20" customHeight="1" x14ac:dyDescent="0.3">
      <c r="B30" s="88" t="str">
        <f t="array" ref="B30">IFERROR(
  INDEX('Visão geral'!$C$5:$C$1000,
         MATCH(0,
                 IF('Visão geral'!$C$5:$C$1000&lt;&gt;"",
                    COUNTIF($B$4:B29,'Visão geral'!$C$5:$C$1000),
                 ""),
         0)
  ),
"")</f>
        <v/>
      </c>
      <c r="C30" s="93" t="str">
        <f>IF(B30="","",SUMIF('Visão geral'!$C$5:$C$1000,B30,'Visão geral'!$G$5:$G$1000))</f>
        <v/>
      </c>
      <c r="D30" s="83"/>
      <c r="E30" s="83"/>
      <c r="F30" s="83"/>
      <c r="H30" s="83"/>
      <c r="I30" s="88"/>
      <c r="J30" s="83"/>
      <c r="K30" s="83"/>
    </row>
    <row r="31" spans="2:11" s="87" customFormat="1" ht="20" customHeight="1" x14ac:dyDescent="0.3">
      <c r="B31" s="91" t="str">
        <f t="array" ref="B31">IFERROR(
  INDEX('Visão geral'!$C$5:$C$1000,
         MATCH(0,
                 IF('Visão geral'!$C$5:$C$1000&lt;&gt;"",
                    COUNTIF($B$4:B30,'Visão geral'!$C$5:$C$1000),
                 ""),
         0)
  ),
"")</f>
        <v/>
      </c>
      <c r="C31" s="93" t="str">
        <f>IF(B31="","",SUMIF('Visão geral'!$C$5:$C$1000,B31,'Visão geral'!$G$5:$G$1000))</f>
        <v/>
      </c>
      <c r="D31" s="83"/>
      <c r="E31" s="83"/>
      <c r="F31" s="83"/>
      <c r="H31" s="83"/>
      <c r="I31" s="88"/>
      <c r="J31" s="83"/>
      <c r="K31" s="83"/>
    </row>
    <row r="32" spans="2:11" s="87" customFormat="1" ht="20" customHeight="1" x14ac:dyDescent="0.3">
      <c r="B32" s="88" t="str">
        <f t="array" ref="B32">IFERROR(
  INDEX('Visão geral'!$C$5:$C$1000,
         MATCH(0,
                 IF('Visão geral'!$C$5:$C$1000&lt;&gt;"",
                    COUNTIF($B$4:B31,'Visão geral'!$C$5:$C$1000),
                 ""),
         0)
  ),
"")</f>
        <v/>
      </c>
      <c r="C32" s="93" t="str">
        <f>IF(B32="","",SUMIF('Visão geral'!$C$5:$C$1000,B32,'Visão geral'!$G$5:$G$1000))</f>
        <v/>
      </c>
      <c r="D32" s="83"/>
      <c r="E32" s="83"/>
      <c r="F32" s="83"/>
      <c r="H32" s="83"/>
      <c r="I32" s="88"/>
      <c r="J32" s="83"/>
      <c r="K32" s="83"/>
    </row>
    <row r="33" spans="2:11" s="87" customFormat="1" ht="20" customHeight="1" x14ac:dyDescent="0.3">
      <c r="B33" s="88" t="str">
        <f t="array" ref="B33">IFERROR(
  INDEX('Visão geral'!$C$5:$C$1000,
         MATCH(0,
                 IF('Visão geral'!$C$5:$C$1000&lt;&gt;"",
                    COUNTIF($B$4:B32,'Visão geral'!$C$5:$C$1000),
                 ""),
         0)
  ),
"")</f>
        <v/>
      </c>
      <c r="C33" s="93" t="str">
        <f>IF(B33="","",SUMIF('Visão geral'!$C$5:$C$1000,B33,'Visão geral'!$G$5:$G$1000))</f>
        <v/>
      </c>
      <c r="D33" s="83"/>
      <c r="E33" s="83"/>
      <c r="F33" s="83"/>
      <c r="H33" s="83"/>
      <c r="I33" s="88"/>
      <c r="J33" s="83"/>
      <c r="K33" s="83"/>
    </row>
    <row r="34" spans="2:11" s="87" customFormat="1" ht="20" customHeight="1" x14ac:dyDescent="0.3">
      <c r="B34" s="90" t="str">
        <f t="array" ref="B34">IFERROR(
  INDEX('Visão geral'!$C$5:$C$1000,
         MATCH(0,
                 IF('Visão geral'!$C$5:$C$1000&lt;&gt;"",
                    COUNTIF($B$4:B33,'Visão geral'!$C$5:$C$1000),
                 ""),
         0)
  ),
"")</f>
        <v/>
      </c>
      <c r="C34" s="93" t="str">
        <f>IF(B34="","",SUMIF('Visão geral'!$C$5:$C$1000,B34,'Visão geral'!$G$5:$G$1000))</f>
        <v/>
      </c>
      <c r="D34" s="83"/>
      <c r="E34" s="83"/>
      <c r="F34" s="83"/>
      <c r="H34" s="83"/>
      <c r="I34" s="88"/>
      <c r="J34" s="83"/>
      <c r="K34" s="83"/>
    </row>
    <row r="35" spans="2:11" s="87" customFormat="1" ht="20" customHeight="1" x14ac:dyDescent="0.3">
      <c r="B35" s="88" t="str">
        <f t="array" ref="B35">IFERROR(
  INDEX('Visão geral'!$C$5:$C$1000,
         MATCH(0,
                 IF('Visão geral'!$C$5:$C$1000&lt;&gt;"",
                    COUNTIF($B$4:B34,'Visão geral'!$C$5:$C$1000),
                 ""),
         0)
  ),
"")</f>
        <v/>
      </c>
      <c r="C35" s="93" t="str">
        <f>IF(B35="","",SUMIF('Visão geral'!$C$5:$C$1000,B35,'Visão geral'!$G$5:$G$1000))</f>
        <v/>
      </c>
      <c r="D35" s="83"/>
      <c r="E35" s="83"/>
      <c r="F35" s="83"/>
      <c r="H35" s="83"/>
      <c r="I35" s="88"/>
      <c r="J35" s="83"/>
      <c r="K35" s="83"/>
    </row>
    <row r="36" spans="2:11" s="87" customFormat="1" ht="20" customHeight="1" x14ac:dyDescent="0.3">
      <c r="B36" s="88" t="str">
        <f t="array" ref="B36">IFERROR(
  INDEX('Visão geral'!$C$5:$C$1000,
         MATCH(0,
                 IF('Visão geral'!$C$5:$C$1000&lt;&gt;"",
                    COUNTIF($B$4:B35,'Visão geral'!$C$5:$C$1000),
                 ""),
         0)
  ),
"")</f>
        <v/>
      </c>
      <c r="C36" s="93" t="str">
        <f>IF(B36="","",SUMIF('Visão geral'!$C$5:$C$1000,B36,'Visão geral'!$G$5:$G$1000))</f>
        <v/>
      </c>
      <c r="D36" s="83"/>
      <c r="E36" s="83"/>
      <c r="F36" s="83"/>
      <c r="H36" s="83"/>
      <c r="I36" s="88"/>
      <c r="J36" s="83"/>
      <c r="K36" s="83"/>
    </row>
    <row r="37" spans="2:11" s="87" customFormat="1" ht="20" customHeight="1" x14ac:dyDescent="0.3">
      <c r="B37" s="91" t="str">
        <f t="array" ref="B37">IFERROR(
  INDEX('Visão geral'!$C$5:$C$1000,
         MATCH(0,
                 IF('Visão geral'!$C$5:$C$1000&lt;&gt;"",
                    COUNTIF($B$4:B36,'Visão geral'!$C$5:$C$1000),
                 ""),
         0)
  ),
"")</f>
        <v/>
      </c>
      <c r="C37" s="93" t="str">
        <f>IF(B37="","",SUMIF('Visão geral'!$C$5:$C$1000,B37,'Visão geral'!$G$5:$G$1000))</f>
        <v/>
      </c>
      <c r="D37" s="83"/>
      <c r="E37" s="83"/>
      <c r="F37" s="83"/>
      <c r="H37" s="83"/>
      <c r="I37" s="88"/>
      <c r="J37" s="83"/>
      <c r="K37" s="83"/>
    </row>
    <row r="38" spans="2:11" s="87" customFormat="1" ht="20" customHeight="1" x14ac:dyDescent="0.3">
      <c r="B38" s="88" t="str">
        <f t="array" ref="B38">IFERROR(
  INDEX('Visão geral'!$C$5:$C$1000,
         MATCH(0,
                 IF('Visão geral'!$C$5:$C$1000&lt;&gt;"",
                    COUNTIF($B$4:B37,'Visão geral'!$C$5:$C$1000),
                 ""),
         0)
  ),
"")</f>
        <v/>
      </c>
      <c r="C38" s="93" t="str">
        <f>IF(B38="","",SUMIF('Visão geral'!$C$5:$C$1000,B38,'Visão geral'!$G$5:$G$1000))</f>
        <v/>
      </c>
      <c r="D38" s="83"/>
      <c r="E38" s="83"/>
      <c r="F38" s="83"/>
      <c r="H38" s="83"/>
      <c r="I38" s="88"/>
      <c r="J38" s="83"/>
      <c r="K38" s="83"/>
    </row>
    <row r="39" spans="2:11" s="87" customFormat="1" ht="20" customHeight="1" x14ac:dyDescent="0.3">
      <c r="B39" s="88" t="str">
        <f t="array" ref="B39">IFERROR(
  INDEX('Visão geral'!$C$5:$C$1000,
         MATCH(0,
                 IF('Visão geral'!$C$5:$C$1000&lt;&gt;"",
                    COUNTIF($B$4:B38,'Visão geral'!$C$5:$C$1000),
                 ""),
         0)
  ),
"")</f>
        <v/>
      </c>
      <c r="C39" s="93" t="str">
        <f>IF(B39="","",SUMIF('Visão geral'!$C$5:$C$1000,B39,'Visão geral'!$G$5:$G$1000))</f>
        <v/>
      </c>
      <c r="D39" s="83"/>
      <c r="E39" s="83"/>
      <c r="F39" s="83"/>
      <c r="H39" s="83"/>
      <c r="I39" s="88"/>
      <c r="J39" s="83"/>
      <c r="K39" s="83"/>
    </row>
    <row r="40" spans="2:11" s="87" customFormat="1" ht="20" customHeight="1" x14ac:dyDescent="0.3">
      <c r="B40" s="90" t="str">
        <f t="array" ref="B40">IFERROR(
  INDEX('Visão geral'!$C$5:$C$1000,
         MATCH(0,
                 IF('Visão geral'!$C$5:$C$1000&lt;&gt;"",
                    COUNTIF($B$4:B39,'Visão geral'!$C$5:$C$1000),
                 ""),
         0)
  ),
"")</f>
        <v/>
      </c>
      <c r="C40" s="93" t="str">
        <f>IF(B40="","",SUMIF('Visão geral'!$C$5:$C$1000,B40,'Visão geral'!$G$5:$G$1000))</f>
        <v/>
      </c>
      <c r="D40" s="83"/>
      <c r="E40" s="83"/>
      <c r="F40" s="83"/>
      <c r="H40" s="83"/>
      <c r="I40" s="88"/>
      <c r="J40" s="83"/>
      <c r="K40" s="83"/>
    </row>
    <row r="41" spans="2:11" s="87" customFormat="1" ht="20" customHeight="1" x14ac:dyDescent="0.3">
      <c r="B41" s="88" t="str">
        <f t="array" ref="B41">IFERROR(
  INDEX('Visão geral'!$C$5:$C$1000,
         MATCH(0,
                 IF('Visão geral'!$C$5:$C$1000&lt;&gt;"",
                    COUNTIF($B$4:B40,'Visão geral'!$C$5:$C$1000),
                 ""),
         0)
  ),
"")</f>
        <v/>
      </c>
      <c r="C41" s="93" t="str">
        <f>IF(B41="","",SUMIF('Visão geral'!$C$5:$C$1000,B41,'Visão geral'!$G$5:$G$1000))</f>
        <v/>
      </c>
      <c r="D41" s="83"/>
      <c r="E41" s="83"/>
      <c r="F41" s="83"/>
      <c r="H41" s="83"/>
      <c r="I41" s="88"/>
      <c r="J41" s="83"/>
      <c r="K41" s="83"/>
    </row>
    <row r="42" spans="2:11" s="87" customFormat="1" ht="20" customHeight="1" x14ac:dyDescent="0.3">
      <c r="B42" s="88" t="str">
        <f t="array" ref="B42">IFERROR(
  INDEX('Visão geral'!$C$5:$C$1000,
         MATCH(0,
                 IF('Visão geral'!$C$5:$C$1000&lt;&gt;"",
                    COUNTIF($B$4:B41,'Visão geral'!$C$5:$C$1000),
                 ""),
         0)
  ),
"")</f>
        <v/>
      </c>
      <c r="C42" s="93" t="str">
        <f>IF(B42="","",SUMIF('Visão geral'!$C$5:$C$1000,B42,'Visão geral'!$G$5:$G$1000))</f>
        <v/>
      </c>
      <c r="D42" s="83"/>
      <c r="E42" s="83"/>
      <c r="F42" s="83"/>
      <c r="H42" s="83"/>
      <c r="I42" s="88"/>
      <c r="J42" s="83"/>
      <c r="K42" s="83"/>
    </row>
    <row r="43" spans="2:11" s="87" customFormat="1" ht="20" customHeight="1" x14ac:dyDescent="0.3">
      <c r="B43" s="91" t="str">
        <f t="array" ref="B43">IFERROR(
  INDEX('Visão geral'!$C$5:$C$1000,
         MATCH(0,
                 IF('Visão geral'!$C$5:$C$1000&lt;&gt;"",
                    COUNTIF($B$4:B42,'Visão geral'!$C$5:$C$1000),
                 ""),
         0)
  ),
"")</f>
        <v/>
      </c>
      <c r="C43" s="93" t="str">
        <f>IF(B43="","",SUMIF('Visão geral'!$C$5:$C$1000,B43,'Visão geral'!$G$5:$G$1000))</f>
        <v/>
      </c>
      <c r="D43" s="83"/>
      <c r="E43" s="83"/>
      <c r="F43" s="83"/>
      <c r="H43" s="83"/>
      <c r="I43" s="88"/>
      <c r="J43" s="83"/>
      <c r="K43" s="83"/>
    </row>
    <row r="44" spans="2:11" s="87" customFormat="1" ht="20" customHeight="1" x14ac:dyDescent="0.3">
      <c r="B44" s="88" t="str">
        <f t="array" ref="B44">IFERROR(
  INDEX('Visão geral'!$C$5:$C$1000,
         MATCH(0,
                 IF('Visão geral'!$C$5:$C$1000&lt;&gt;"",
                    COUNTIF($B$4:B43,'Visão geral'!$C$5:$C$1000),
                 ""),
         0)
  ),
"")</f>
        <v/>
      </c>
      <c r="C44" s="93" t="str">
        <f>IF(B44="","",SUMIF('Visão geral'!$C$5:$C$1000,B44,'Visão geral'!$G$5:$G$1000))</f>
        <v/>
      </c>
      <c r="D44" s="83"/>
      <c r="E44" s="83"/>
      <c r="F44" s="83"/>
      <c r="H44" s="83"/>
      <c r="I44" s="88"/>
      <c r="J44" s="83"/>
      <c r="K44" s="83"/>
    </row>
    <row r="45" spans="2:11" s="87" customFormat="1" ht="20" customHeight="1" x14ac:dyDescent="0.3">
      <c r="B45" s="88" t="str">
        <f t="array" ref="B45">IFERROR(
  INDEX('Visão geral'!$C$5:$C$1000,
         MATCH(0,
                 IF('Visão geral'!$C$5:$C$1000&lt;&gt;"",
                    COUNTIF($B$4:B44,'Visão geral'!$C$5:$C$1000),
                 ""),
         0)
  ),
"")</f>
        <v/>
      </c>
      <c r="C45" s="93" t="str">
        <f>IF(B45="","",SUMIF('Visão geral'!$C$5:$C$1000,B45,'Visão geral'!$G$5:$G$1000))</f>
        <v/>
      </c>
      <c r="D45" s="83"/>
      <c r="E45" s="83"/>
      <c r="F45" s="83"/>
      <c r="H45" s="83"/>
      <c r="I45" s="88"/>
      <c r="J45" s="83"/>
      <c r="K45" s="83"/>
    </row>
    <row r="46" spans="2:11" s="87" customFormat="1" ht="20" customHeight="1" x14ac:dyDescent="0.3">
      <c r="B46" s="90" t="str">
        <f t="array" ref="B46">IFERROR(
  INDEX('Visão geral'!$C$5:$C$1000,
         MATCH(0,
                 IF('Visão geral'!$C$5:$C$1000&lt;&gt;"",
                    COUNTIF($B$4:B45,'Visão geral'!$C$5:$C$1000),
                 ""),
         0)
  ),
"")</f>
        <v/>
      </c>
      <c r="C46" s="93" t="str">
        <f>IF(B46="","",SUMIF('Visão geral'!$C$5:$C$1000,B46,'Visão geral'!$G$5:$G$1000))</f>
        <v/>
      </c>
      <c r="D46" s="83"/>
      <c r="E46" s="83"/>
      <c r="F46" s="83"/>
      <c r="H46" s="83"/>
      <c r="I46" s="88"/>
      <c r="J46" s="83"/>
      <c r="K46" s="83"/>
    </row>
    <row r="47" spans="2:11" s="87" customFormat="1" ht="20" customHeight="1" x14ac:dyDescent="0.3">
      <c r="B47" s="88" t="str">
        <f t="array" ref="B47">IFERROR(
  INDEX('Visão geral'!$C$5:$C$1000,
         MATCH(0,
                 IF('Visão geral'!$C$5:$C$1000&lt;&gt;"",
                    COUNTIF($B$4:B46,'Visão geral'!$C$5:$C$1000),
                 ""),
         0)
  ),
"")</f>
        <v/>
      </c>
      <c r="C47" s="93" t="str">
        <f>IF(B47="","",SUMIF('Visão geral'!$C$5:$C$1000,B47,'Visão geral'!$G$5:$G$1000))</f>
        <v/>
      </c>
      <c r="D47" s="83"/>
      <c r="E47" s="83"/>
      <c r="F47" s="83"/>
      <c r="H47" s="83"/>
      <c r="I47" s="88"/>
      <c r="J47" s="83"/>
      <c r="K47" s="83"/>
    </row>
    <row r="48" spans="2:11" s="87" customFormat="1" ht="20" customHeight="1" x14ac:dyDescent="0.3">
      <c r="B48" s="88" t="str">
        <f t="array" ref="B48">IFERROR(
  INDEX('Visão geral'!$C$5:$C$1000,
         MATCH(0,
                 IF('Visão geral'!$C$5:$C$1000&lt;&gt;"",
                    COUNTIF($B$4:B47,'Visão geral'!$C$5:$C$1000),
                 ""),
         0)
  ),
"")</f>
        <v/>
      </c>
      <c r="C48" s="93" t="str">
        <f>IF(B48="","",SUMIF('Visão geral'!$C$5:$C$1000,B48,'Visão geral'!$G$5:$G$1000))</f>
        <v/>
      </c>
      <c r="D48" s="83"/>
      <c r="E48" s="83"/>
      <c r="F48" s="83"/>
      <c r="H48" s="83"/>
      <c r="I48" s="88"/>
      <c r="J48" s="83"/>
      <c r="K48" s="83"/>
    </row>
    <row r="49" spans="2:11" s="87" customFormat="1" ht="20" customHeight="1" x14ac:dyDescent="0.3">
      <c r="B49" s="91" t="str">
        <f t="array" ref="B49">IFERROR(
  INDEX('Visão geral'!$C$5:$C$1000,
         MATCH(0,
                 IF('Visão geral'!$C$5:$C$1000&lt;&gt;"",
                    COUNTIF($B$4:B48,'Visão geral'!$C$5:$C$1000),
                 ""),
         0)
  ),
"")</f>
        <v/>
      </c>
      <c r="C49" s="93" t="str">
        <f>IF(B49="","",SUMIF('Visão geral'!$C$5:$C$1000,B49,'Visão geral'!$G$5:$G$1000))</f>
        <v/>
      </c>
      <c r="D49" s="83"/>
      <c r="E49" s="83"/>
      <c r="F49" s="83"/>
      <c r="H49" s="83"/>
      <c r="I49" s="88"/>
      <c r="J49" s="83"/>
      <c r="K49" s="83"/>
    </row>
    <row r="50" spans="2:11" s="87" customFormat="1" ht="20" customHeight="1" x14ac:dyDescent="0.3">
      <c r="B50" s="88" t="str">
        <f t="array" ref="B50">IFERROR(
  INDEX('Visão geral'!$C$5:$C$1000,
         MATCH(0,
                 IF('Visão geral'!$C$5:$C$1000&lt;&gt;"",
                    COUNTIF($B$4:B49,'Visão geral'!$C$5:$C$1000),
                 ""),
         0)
  ),
"")</f>
        <v/>
      </c>
      <c r="C50" s="93" t="str">
        <f>IF(B50="","",SUMIF('Visão geral'!$C$5:$C$1000,B50,'Visão geral'!$G$5:$G$1000))</f>
        <v/>
      </c>
      <c r="D50" s="83"/>
      <c r="E50" s="83"/>
      <c r="F50" s="83"/>
      <c r="H50" s="83"/>
      <c r="I50" s="88"/>
      <c r="J50" s="83"/>
      <c r="K50" s="83"/>
    </row>
    <row r="51" spans="2:11" s="87" customFormat="1" ht="20" customHeight="1" x14ac:dyDescent="0.3">
      <c r="B51" s="88" t="str">
        <f t="array" ref="B51">IFERROR(
  INDEX('Visão geral'!$C$5:$C$1000,
         MATCH(0,
                 IF('Visão geral'!$C$5:$C$1000&lt;&gt;"",
                    COUNTIF($B$4:B50,'Visão geral'!$C$5:$C$1000),
                 ""),
         0)
  ),
"")</f>
        <v/>
      </c>
      <c r="C51" s="93" t="str">
        <f>IF(B51="","",SUMIF('Visão geral'!$C$5:$C$1000,B51,'Visão geral'!$G$5:$G$1000))</f>
        <v/>
      </c>
      <c r="D51" s="83"/>
      <c r="E51" s="83"/>
      <c r="F51" s="83"/>
      <c r="H51" s="83"/>
      <c r="I51" s="88"/>
      <c r="J51" s="83"/>
      <c r="K51" s="83"/>
    </row>
    <row r="52" spans="2:11" s="87" customFormat="1" ht="20" customHeight="1" x14ac:dyDescent="0.3">
      <c r="B52" s="90" t="str">
        <f t="array" ref="B52">IFERROR(
  INDEX('Visão geral'!$C$5:$C$1000,
         MATCH(0,
                 IF('Visão geral'!$C$5:$C$1000&lt;&gt;"",
                    COUNTIF($B$4:B51,'Visão geral'!$C$5:$C$1000),
                 ""),
         0)
  ),
"")</f>
        <v/>
      </c>
      <c r="C52" s="93" t="str">
        <f>IF(B52="","",SUMIF('Visão geral'!$C$5:$C$1000,B52,'Visão geral'!$G$5:$G$1000))</f>
        <v/>
      </c>
      <c r="D52" s="83"/>
      <c r="E52" s="83"/>
      <c r="F52" s="83"/>
      <c r="H52" s="83"/>
      <c r="I52" s="88"/>
      <c r="J52" s="83"/>
      <c r="K52" s="83"/>
    </row>
    <row r="53" spans="2:11" s="87" customFormat="1" ht="20" customHeight="1" x14ac:dyDescent="0.3">
      <c r="B53" s="88" t="str">
        <f t="array" ref="B53">IFERROR(
  INDEX('Visão geral'!$C$5:$C$1000,
         MATCH(0,
                 IF('Visão geral'!$C$5:$C$1000&lt;&gt;"",
                    COUNTIF($B$4:B52,'Visão geral'!$C$5:$C$1000),
                 ""),
         0)
  ),
"")</f>
        <v/>
      </c>
      <c r="C53" s="93" t="str">
        <f>IF(B53="","",SUMIF('Visão geral'!$C$5:$C$1000,B53,'Visão geral'!$G$5:$G$1000))</f>
        <v/>
      </c>
      <c r="D53" s="83"/>
      <c r="E53" s="83"/>
      <c r="F53" s="83"/>
      <c r="H53" s="83"/>
      <c r="I53" s="88"/>
      <c r="J53" s="83"/>
      <c r="K53" s="83"/>
    </row>
    <row r="54" spans="2:11" s="87" customFormat="1" ht="20" customHeight="1" x14ac:dyDescent="0.3">
      <c r="B54" s="88" t="str">
        <f t="array" ref="B54">IFERROR(
  INDEX('Visão geral'!$C$5:$C$1000,
         MATCH(0,
                 IF('Visão geral'!$C$5:$C$1000&lt;&gt;"",
                    COUNTIF($B$4:B53,'Visão geral'!$C$5:$C$1000),
                 ""),
         0)
  ),
"")</f>
        <v/>
      </c>
      <c r="C54" s="93" t="str">
        <f>IF(B54="","",SUMIF('Visão geral'!$C$5:$C$1000,B54,'Visão geral'!$G$5:$G$1000))</f>
        <v/>
      </c>
      <c r="D54" s="83"/>
      <c r="E54" s="83"/>
      <c r="F54" s="83"/>
      <c r="H54" s="83"/>
      <c r="I54" s="88"/>
      <c r="J54" s="83"/>
      <c r="K54" s="83"/>
    </row>
    <row r="55" spans="2:11" s="87" customFormat="1" ht="20" customHeight="1" x14ac:dyDescent="0.3">
      <c r="B55" s="91" t="str">
        <f t="array" ref="B55">IFERROR(
  INDEX('Visão geral'!$C$5:$C$1000,
         MATCH(0,
                 IF('Visão geral'!$C$5:$C$1000&lt;&gt;"",
                    COUNTIF($B$4:B54,'Visão geral'!$C$5:$C$1000),
                 ""),
         0)
  ),
"")</f>
        <v/>
      </c>
      <c r="C55" s="93" t="str">
        <f>IF(B55="","",SUMIF('Visão geral'!$C$5:$C$1000,B55,'Visão geral'!$G$5:$G$1000))</f>
        <v/>
      </c>
      <c r="D55" s="83"/>
      <c r="E55" s="83"/>
      <c r="F55" s="83"/>
      <c r="H55" s="83"/>
      <c r="I55" s="88"/>
      <c r="J55" s="83"/>
      <c r="K55" s="83"/>
    </row>
    <row r="56" spans="2:11" s="87" customFormat="1" ht="20" customHeight="1" x14ac:dyDescent="0.3">
      <c r="B56" s="88" t="str">
        <f t="array" ref="B56">IFERROR(
  INDEX('Visão geral'!$C$5:$C$1000,
         MATCH(0,
                 IF('Visão geral'!$C$5:$C$1000&lt;&gt;"",
                    COUNTIF($B$4:B55,'Visão geral'!$C$5:$C$1000),
                 ""),
         0)
  ),
"")</f>
        <v/>
      </c>
      <c r="C56" s="93" t="str">
        <f>IF(B56="","",SUMIF('Visão geral'!$C$5:$C$1000,B56,'Visão geral'!$G$5:$G$1000))</f>
        <v/>
      </c>
      <c r="D56" s="83"/>
      <c r="E56" s="83"/>
      <c r="F56" s="83"/>
      <c r="H56" s="83"/>
      <c r="I56" s="88"/>
      <c r="J56" s="83"/>
      <c r="K56" s="83"/>
    </row>
    <row r="57" spans="2:11" s="87" customFormat="1" ht="20" customHeight="1" x14ac:dyDescent="0.3">
      <c r="B57" s="88" t="str">
        <f t="array" ref="B57">IFERROR(
  INDEX('Visão geral'!$C$5:$C$1000,
         MATCH(0,
                 IF('Visão geral'!$C$5:$C$1000&lt;&gt;"",
                    COUNTIF($B$4:B56,'Visão geral'!$C$5:$C$1000),
                 ""),
         0)
  ),
"")</f>
        <v/>
      </c>
      <c r="C57" s="93" t="str">
        <f>IF(B57="","",SUMIF('Visão geral'!$C$5:$C$1000,B57,'Visão geral'!$G$5:$G$1000))</f>
        <v/>
      </c>
      <c r="D57" s="83"/>
      <c r="E57" s="83"/>
      <c r="F57" s="83"/>
      <c r="H57" s="83"/>
      <c r="I57" s="88"/>
      <c r="J57" s="83"/>
      <c r="K57" s="83"/>
    </row>
    <row r="58" spans="2:11" s="87" customFormat="1" ht="20" customHeight="1" x14ac:dyDescent="0.3">
      <c r="B58" s="90" t="str">
        <f t="array" ref="B58">IFERROR(
  INDEX('Visão geral'!$C$5:$C$1000,
         MATCH(0,
                 IF('Visão geral'!$C$5:$C$1000&lt;&gt;"",
                    COUNTIF($B$4:B57,'Visão geral'!$C$5:$C$1000),
                 ""),
         0)
  ),
"")</f>
        <v/>
      </c>
      <c r="C58" s="93" t="str">
        <f>IF(B58="","",SUMIF('Visão geral'!$C$5:$C$1000,B58,'Visão geral'!$G$5:$G$1000))</f>
        <v/>
      </c>
      <c r="D58" s="83"/>
      <c r="E58" s="83"/>
      <c r="F58" s="83"/>
      <c r="H58" s="83"/>
      <c r="I58" s="88"/>
      <c r="J58" s="83"/>
      <c r="K58" s="83"/>
    </row>
    <row r="59" spans="2:11" s="87" customFormat="1" ht="20" customHeight="1" x14ac:dyDescent="0.3">
      <c r="B59" s="88" t="str">
        <f t="array" ref="B59">IFERROR(
  INDEX('Visão geral'!$C$5:$C$1000,
         MATCH(0,
                 IF('Visão geral'!$C$5:$C$1000&lt;&gt;"",
                    COUNTIF($B$4:B58,'Visão geral'!$C$5:$C$1000),
                 ""),
         0)
  ),
"")</f>
        <v/>
      </c>
      <c r="C59" s="93" t="str">
        <f>IF(B59="","",SUMIF('Visão geral'!$C$5:$C$1000,B59,'Visão geral'!$G$5:$G$1000))</f>
        <v/>
      </c>
      <c r="D59" s="83"/>
      <c r="E59" s="83"/>
      <c r="F59" s="83"/>
      <c r="H59" s="83"/>
      <c r="I59" s="88"/>
      <c r="J59" s="83"/>
      <c r="K59" s="83"/>
    </row>
    <row r="60" spans="2:11" s="87" customFormat="1" ht="20" customHeight="1" x14ac:dyDescent="0.3">
      <c r="B60" s="88" t="str">
        <f t="array" ref="B60">IFERROR(
  INDEX('Visão geral'!$C$5:$C$1000,
         MATCH(0,
                 IF('Visão geral'!$C$5:$C$1000&lt;&gt;"",
                    COUNTIF($B$4:B59,'Visão geral'!$C$5:$C$1000),
                 ""),
         0)
  ),
"")</f>
        <v/>
      </c>
      <c r="C60" s="93" t="str">
        <f>IF(B60="","",SUMIF('Visão geral'!$C$5:$C$1000,B60,'Visão geral'!$G$5:$G$1000))</f>
        <v/>
      </c>
      <c r="D60" s="83"/>
      <c r="E60" s="83"/>
      <c r="F60" s="83"/>
      <c r="H60" s="83"/>
      <c r="I60" s="88"/>
      <c r="J60" s="83"/>
      <c r="K60" s="83"/>
    </row>
    <row r="61" spans="2:11" s="87" customFormat="1" ht="20" customHeight="1" x14ac:dyDescent="0.3">
      <c r="B61" s="91" t="str">
        <f t="array" ref="B61">IFERROR(
  INDEX('Visão geral'!$C$5:$C$1000,
         MATCH(0,
                 IF('Visão geral'!$C$5:$C$1000&lt;&gt;"",
                    COUNTIF($B$4:B60,'Visão geral'!$C$5:$C$1000),
                 ""),
         0)
  ),
"")</f>
        <v/>
      </c>
      <c r="C61" s="93" t="str">
        <f>IF(B61="","",SUMIF('Visão geral'!$C$5:$C$1000,B61,'Visão geral'!$G$5:$G$1000))</f>
        <v/>
      </c>
      <c r="D61" s="83"/>
      <c r="E61" s="83"/>
      <c r="F61" s="83"/>
      <c r="H61" s="83"/>
      <c r="I61" s="88"/>
      <c r="J61" s="83"/>
      <c r="K61" s="83"/>
    </row>
    <row r="62" spans="2:11" s="87" customFormat="1" ht="20" customHeight="1" x14ac:dyDescent="0.3">
      <c r="B62" s="88" t="str">
        <f t="array" ref="B62">IFERROR(
  INDEX('Visão geral'!$C$5:$C$1000,
         MATCH(0,
                 IF('Visão geral'!$C$5:$C$1000&lt;&gt;"",
                    COUNTIF($B$4:B61,'Visão geral'!$C$5:$C$1000),
                 ""),
         0)
  ),
"")</f>
        <v/>
      </c>
      <c r="C62" s="93" t="str">
        <f>IF(B62="","",SUMIF('Visão geral'!$C$5:$C$1000,B62,'Visão geral'!$G$5:$G$1000))</f>
        <v/>
      </c>
      <c r="D62" s="83"/>
      <c r="E62" s="83"/>
      <c r="F62" s="83"/>
      <c r="H62" s="83"/>
      <c r="I62" s="88"/>
      <c r="J62" s="83"/>
      <c r="K62" s="83"/>
    </row>
    <row r="63" spans="2:11" s="87" customFormat="1" ht="20" customHeight="1" x14ac:dyDescent="0.3">
      <c r="B63" s="88" t="str">
        <f t="array" ref="B63">IFERROR(
  INDEX('Visão geral'!$C$5:$C$1000,
         MATCH(0,
                 IF('Visão geral'!$C$5:$C$1000&lt;&gt;"",
                    COUNTIF($B$4:B62,'Visão geral'!$C$5:$C$1000),
                 ""),
         0)
  ),
"")</f>
        <v/>
      </c>
      <c r="C63" s="93" t="str">
        <f>IF(B63="","",SUMIF('Visão geral'!$C$5:$C$1000,B63,'Visão geral'!$G$5:$G$1000))</f>
        <v/>
      </c>
      <c r="D63" s="83"/>
      <c r="E63" s="83"/>
      <c r="F63" s="83"/>
      <c r="H63" s="83"/>
      <c r="I63" s="88"/>
      <c r="J63" s="83"/>
      <c r="K63" s="83"/>
    </row>
    <row r="64" spans="2:11" s="87" customFormat="1" ht="20" customHeight="1" x14ac:dyDescent="0.3">
      <c r="B64" s="90" t="str">
        <f t="array" ref="B64">IFERROR(
  INDEX('Visão geral'!$C$5:$C$1000,
         MATCH(0,
                 IF('Visão geral'!$C$5:$C$1000&lt;&gt;"",
                    COUNTIF($B$4:B63,'Visão geral'!$C$5:$C$1000),
                 ""),
         0)
  ),
"")</f>
        <v/>
      </c>
      <c r="C64" s="93" t="str">
        <f>IF(B64="","",SUMIF('Visão geral'!$C$5:$C$1000,B64,'Visão geral'!$G$5:$G$1000))</f>
        <v/>
      </c>
      <c r="D64" s="83"/>
      <c r="E64" s="83"/>
      <c r="F64" s="83"/>
      <c r="H64" s="83"/>
      <c r="I64" s="88"/>
      <c r="J64" s="83"/>
      <c r="K64" s="83"/>
    </row>
    <row r="65" spans="2:11" s="87" customFormat="1" ht="20" customHeight="1" x14ac:dyDescent="0.3">
      <c r="B65" s="88" t="str">
        <f t="array" ref="B65">IFERROR(
  INDEX('Visão geral'!$C$5:$C$1000,
         MATCH(0,
                 IF('Visão geral'!$C$5:$C$1000&lt;&gt;"",
                    COUNTIF($B$4:B64,'Visão geral'!$C$5:$C$1000),
                 ""),
         0)
  ),
"")</f>
        <v/>
      </c>
      <c r="C65" s="93" t="str">
        <f>IF(B65="","",SUMIF('Visão geral'!$C$5:$C$1000,B65,'Visão geral'!$G$5:$G$1000))</f>
        <v/>
      </c>
      <c r="D65" s="83"/>
      <c r="E65" s="83"/>
      <c r="F65" s="83"/>
      <c r="H65" s="83"/>
      <c r="I65" s="88"/>
      <c r="J65" s="83"/>
      <c r="K65" s="83"/>
    </row>
    <row r="66" spans="2:11" s="87" customFormat="1" ht="20" customHeight="1" x14ac:dyDescent="0.3">
      <c r="B66" s="88" t="str">
        <f t="array" ref="B66">IFERROR(
  INDEX('Visão geral'!$C$5:$C$1000,
         MATCH(0,
                 IF('Visão geral'!$C$5:$C$1000&lt;&gt;"",
                    COUNTIF($B$4:B65,'Visão geral'!$C$5:$C$1000),
                 ""),
         0)
  ),
"")</f>
        <v/>
      </c>
      <c r="C66" s="93" t="str">
        <f>IF(B66="","",SUMIF('Visão geral'!$C$5:$C$1000,B66,'Visão geral'!$G$5:$G$1000))</f>
        <v/>
      </c>
      <c r="D66" s="83"/>
      <c r="E66" s="83"/>
      <c r="F66" s="83"/>
      <c r="H66" s="83"/>
      <c r="I66" s="88"/>
      <c r="J66" s="83"/>
      <c r="K66" s="83"/>
    </row>
    <row r="67" spans="2:11" s="87" customFormat="1" ht="20" customHeight="1" x14ac:dyDescent="0.3">
      <c r="B67" s="91" t="str">
        <f t="array" ref="B67">IFERROR(
  INDEX('Visão geral'!$C$5:$C$1000,
         MATCH(0,
                 IF('Visão geral'!$C$5:$C$1000&lt;&gt;"",
                    COUNTIF($B$4:B66,'Visão geral'!$C$5:$C$1000),
                 ""),
         0)
  ),
"")</f>
        <v/>
      </c>
      <c r="C67" s="93" t="str">
        <f>IF(B67="","",SUMIF('Visão geral'!$C$5:$C$1000,B67,'Visão geral'!$G$5:$G$1000))</f>
        <v/>
      </c>
      <c r="D67" s="83"/>
      <c r="E67" s="83"/>
      <c r="F67" s="83"/>
      <c r="H67" s="83"/>
      <c r="I67" s="88"/>
      <c r="J67" s="83"/>
      <c r="K67" s="83"/>
    </row>
    <row r="68" spans="2:11" s="87" customFormat="1" ht="20" customHeight="1" x14ac:dyDescent="0.3">
      <c r="B68" s="88" t="str">
        <f t="array" ref="B68">IFERROR(
  INDEX('Visão geral'!$C$5:$C$1000,
         MATCH(0,
                 IF('Visão geral'!$C$5:$C$1000&lt;&gt;"",
                    COUNTIF($B$4:B67,'Visão geral'!$C$5:$C$1000),
                 ""),
         0)
  ),
"")</f>
        <v/>
      </c>
      <c r="C68" s="93" t="str">
        <f>IF(B68="","",SUMIF('Visão geral'!$C$5:$C$1000,B68,'Visão geral'!$G$5:$G$1000))</f>
        <v/>
      </c>
      <c r="D68" s="83"/>
      <c r="E68" s="83"/>
      <c r="F68" s="83"/>
      <c r="H68" s="83"/>
      <c r="I68" s="88"/>
      <c r="J68" s="83"/>
      <c r="K68" s="83"/>
    </row>
    <row r="69" spans="2:11" s="87" customFormat="1" ht="20" customHeight="1" x14ac:dyDescent="0.3">
      <c r="B69" s="88" t="str">
        <f t="array" ref="B69">IFERROR(
  INDEX('Visão geral'!$C$5:$C$1000,
         MATCH(0,
                 IF('Visão geral'!$C$5:$C$1000&lt;&gt;"",
                    COUNTIF($B$4:B68,'Visão geral'!$C$5:$C$1000),
                 ""),
         0)
  ),
"")</f>
        <v/>
      </c>
      <c r="C69" s="93" t="str">
        <f>IF(B69="","",SUMIF('Visão geral'!$C$5:$C$1000,B69,'Visão geral'!$G$5:$G$1000))</f>
        <v/>
      </c>
      <c r="D69" s="83"/>
      <c r="E69" s="83"/>
      <c r="F69" s="83"/>
      <c r="H69" s="83"/>
      <c r="I69" s="88"/>
      <c r="J69" s="83"/>
      <c r="K69" s="83"/>
    </row>
    <row r="70" spans="2:11" s="87" customFormat="1" ht="20" customHeight="1" x14ac:dyDescent="0.3">
      <c r="B70" s="90" t="str">
        <f t="array" ref="B70">IFERROR(
  INDEX('Visão geral'!$C$5:$C$1000,
         MATCH(0,
                 IF('Visão geral'!$C$5:$C$1000&lt;&gt;"",
                    COUNTIF($B$4:B69,'Visão geral'!$C$5:$C$1000),
                 ""),
         0)
  ),
"")</f>
        <v/>
      </c>
      <c r="C70" s="93" t="str">
        <f>IF(B70="","",SUMIF('Visão geral'!$C$5:$C$1000,B70,'Visão geral'!$G$5:$G$1000))</f>
        <v/>
      </c>
      <c r="D70" s="83"/>
      <c r="E70" s="83"/>
      <c r="F70" s="83"/>
      <c r="H70" s="83"/>
      <c r="I70" s="88"/>
      <c r="J70" s="83"/>
      <c r="K70" s="83"/>
    </row>
    <row r="71" spans="2:11" s="87" customFormat="1" ht="20" customHeight="1" x14ac:dyDescent="0.3">
      <c r="B71" s="88" t="str">
        <f t="array" ref="B71">IFERROR(
  INDEX('Visão geral'!$C$5:$C$1000,
         MATCH(0,
                 IF('Visão geral'!$C$5:$C$1000&lt;&gt;"",
                    COUNTIF($B$4:B70,'Visão geral'!$C$5:$C$1000),
                 ""),
         0)
  ),
"")</f>
        <v/>
      </c>
      <c r="C71" s="93" t="str">
        <f>IF(B71="","",SUMIF('Visão geral'!$C$5:$C$1000,B71,'Visão geral'!$G$5:$G$1000))</f>
        <v/>
      </c>
      <c r="D71" s="83"/>
      <c r="E71" s="83"/>
      <c r="F71" s="83"/>
      <c r="H71" s="83"/>
      <c r="I71" s="88"/>
      <c r="J71" s="83"/>
      <c r="K71" s="83"/>
    </row>
    <row r="72" spans="2:11" s="87" customFormat="1" ht="20" customHeight="1" x14ac:dyDescent="0.3">
      <c r="B72" s="88" t="str">
        <f t="array" ref="B72">IFERROR(
  INDEX('Visão geral'!$C$5:$C$1000,
         MATCH(0,
                 IF('Visão geral'!$C$5:$C$1000&lt;&gt;"",
                    COUNTIF($B$4:B71,'Visão geral'!$C$5:$C$1000),
                 ""),
         0)
  ),
"")</f>
        <v/>
      </c>
      <c r="C72" s="93" t="str">
        <f>IF(B72="","",SUMIF('Visão geral'!$C$5:$C$1000,B72,'Visão geral'!$G$5:$G$1000))</f>
        <v/>
      </c>
      <c r="D72" s="83"/>
      <c r="E72" s="83"/>
      <c r="F72" s="83"/>
      <c r="H72" s="83"/>
      <c r="I72" s="88"/>
      <c r="J72" s="83"/>
      <c r="K72" s="83"/>
    </row>
    <row r="73" spans="2:11" s="87" customFormat="1" ht="20" customHeight="1" x14ac:dyDescent="0.3">
      <c r="B73" s="91" t="str">
        <f t="array" ref="B73">IFERROR(
  INDEX('Visão geral'!$C$5:$C$1000,
         MATCH(0,
                 IF('Visão geral'!$C$5:$C$1000&lt;&gt;"",
                    COUNTIF($B$4:B72,'Visão geral'!$C$5:$C$1000),
                 ""),
         0)
  ),
"")</f>
        <v/>
      </c>
      <c r="C73" s="93" t="str">
        <f>IF(B73="","",SUMIF('Visão geral'!$C$5:$C$1000,B73,'Visão geral'!$G$5:$G$1000))</f>
        <v/>
      </c>
      <c r="D73" s="83"/>
      <c r="E73" s="83"/>
      <c r="F73" s="83"/>
      <c r="H73" s="83"/>
      <c r="I73" s="88"/>
      <c r="J73" s="83"/>
      <c r="K73" s="83"/>
    </row>
    <row r="74" spans="2:11" s="87" customFormat="1" ht="20" customHeight="1" x14ac:dyDescent="0.3">
      <c r="B74" s="88" t="str">
        <f t="array" ref="B74">IFERROR(
  INDEX('Visão geral'!$C$5:$C$1000,
         MATCH(0,
                 IF('Visão geral'!$C$5:$C$1000&lt;&gt;"",
                    COUNTIF($B$4:B73,'Visão geral'!$C$5:$C$1000),
                 ""),
         0)
  ),
"")</f>
        <v/>
      </c>
      <c r="C74" s="93" t="str">
        <f>IF(B74="","",SUMIF('Visão geral'!$C$5:$C$1000,B74,'Visão geral'!$G$5:$G$1000))</f>
        <v/>
      </c>
      <c r="D74" s="83"/>
      <c r="E74" s="83"/>
      <c r="F74" s="83"/>
      <c r="H74" s="83"/>
      <c r="I74" s="88"/>
      <c r="J74" s="83"/>
      <c r="K74" s="83"/>
    </row>
    <row r="75" spans="2:11" s="87" customFormat="1" ht="20" customHeight="1" x14ac:dyDescent="0.3">
      <c r="B75" s="88" t="str">
        <f t="array" ref="B75">IFERROR(
  INDEX('Visão geral'!$C$5:$C$1000,
         MATCH(0,
                 IF('Visão geral'!$C$5:$C$1000&lt;&gt;"",
                    COUNTIF($B$4:B74,'Visão geral'!$C$5:$C$1000),
                 ""),
         0)
  ),
"")</f>
        <v/>
      </c>
      <c r="C75" s="93" t="str">
        <f>IF(B75="","",SUMIF('Visão geral'!$C$5:$C$1000,B75,'Visão geral'!$G$5:$G$1000))</f>
        <v/>
      </c>
      <c r="D75" s="83"/>
      <c r="E75" s="83"/>
      <c r="F75" s="83"/>
      <c r="H75" s="83"/>
      <c r="I75" s="88"/>
      <c r="J75" s="83"/>
      <c r="K75" s="83"/>
    </row>
    <row r="76" spans="2:11" s="87" customFormat="1" ht="20" customHeight="1" x14ac:dyDescent="0.3">
      <c r="B76" s="90" t="str">
        <f t="array" ref="B76">IFERROR(
  INDEX('Visão geral'!$C$5:$C$1000,
         MATCH(0,
                 IF('Visão geral'!$C$5:$C$1000&lt;&gt;"",
                    COUNTIF($B$4:B75,'Visão geral'!$C$5:$C$1000),
                 ""),
         0)
  ),
"")</f>
        <v/>
      </c>
      <c r="C76" s="93" t="str">
        <f>IF(B76="","",SUMIF('Visão geral'!$C$5:$C$1000,B76,'Visão geral'!$G$5:$G$1000))</f>
        <v/>
      </c>
      <c r="D76" s="83"/>
      <c r="E76" s="83"/>
      <c r="F76" s="83"/>
      <c r="H76" s="83"/>
      <c r="I76" s="88"/>
      <c r="J76" s="83"/>
      <c r="K76" s="83"/>
    </row>
    <row r="77" spans="2:11" s="87" customFormat="1" ht="20" customHeight="1" x14ac:dyDescent="0.3">
      <c r="B77" s="88" t="str">
        <f t="array" ref="B77">IFERROR(
  INDEX('Visão geral'!$C$5:$C$1000,
         MATCH(0,
                 IF('Visão geral'!$C$5:$C$1000&lt;&gt;"",
                    COUNTIF($B$4:B76,'Visão geral'!$C$5:$C$1000),
                 ""),
         0)
  ),
"")</f>
        <v/>
      </c>
      <c r="C77" s="93" t="str">
        <f>IF(B77="","",SUMIF('Visão geral'!$C$5:$C$1000,B77,'Visão geral'!$G$5:$G$1000))</f>
        <v/>
      </c>
      <c r="D77" s="83"/>
      <c r="E77" s="83"/>
      <c r="F77" s="83"/>
      <c r="H77" s="83"/>
      <c r="I77" s="88"/>
      <c r="J77" s="83"/>
      <c r="K77" s="83"/>
    </row>
    <row r="78" spans="2:11" s="87" customFormat="1" ht="20" customHeight="1" x14ac:dyDescent="0.3">
      <c r="B78" s="88" t="str">
        <f t="array" ref="B78">IFERROR(
  INDEX('Visão geral'!$C$5:$C$1000,
         MATCH(0,
                 IF('Visão geral'!$C$5:$C$1000&lt;&gt;"",
                    COUNTIF($B$4:B77,'Visão geral'!$C$5:$C$1000),
                 ""),
         0)
  ),
"")</f>
        <v/>
      </c>
      <c r="C78" s="93" t="str">
        <f>IF(B78="","",SUMIF('Visão geral'!$C$5:$C$1000,B78,'Visão geral'!$G$5:$G$1000))</f>
        <v/>
      </c>
      <c r="D78" s="83"/>
      <c r="E78" s="83"/>
      <c r="F78" s="83"/>
      <c r="H78" s="83"/>
      <c r="I78" s="88"/>
      <c r="J78" s="83"/>
      <c r="K78" s="83"/>
    </row>
    <row r="79" spans="2:11" s="87" customFormat="1" ht="20" customHeight="1" x14ac:dyDescent="0.3">
      <c r="B79" s="91" t="str">
        <f t="array" ref="B79">IFERROR(
  INDEX('Visão geral'!$C$5:$C$1000,
         MATCH(0,
                 IF('Visão geral'!$C$5:$C$1000&lt;&gt;"",
                    COUNTIF($B$4:B78,'Visão geral'!$C$5:$C$1000),
                 ""),
         0)
  ),
"")</f>
        <v/>
      </c>
      <c r="C79" s="93" t="str">
        <f>IF(B79="","",SUMIF('Visão geral'!$C$5:$C$1000,B79,'Visão geral'!$G$5:$G$1000))</f>
        <v/>
      </c>
      <c r="D79" s="83"/>
      <c r="E79" s="83"/>
      <c r="F79" s="83"/>
      <c r="H79" s="83"/>
      <c r="I79" s="88"/>
      <c r="J79" s="83"/>
      <c r="K79" s="83"/>
    </row>
    <row r="80" spans="2:11" s="87" customFormat="1" ht="20" customHeight="1" x14ac:dyDescent="0.3">
      <c r="B80" s="88" t="str">
        <f t="array" ref="B80">IFERROR(
  INDEX('Visão geral'!$C$5:$C$1000,
         MATCH(0,
                 IF('Visão geral'!$C$5:$C$1000&lt;&gt;"",
                    COUNTIF($B$4:B79,'Visão geral'!$C$5:$C$1000),
                 ""),
         0)
  ),
"")</f>
        <v/>
      </c>
      <c r="C80" s="93" t="str">
        <f>IF(B80="","",SUMIF('Visão geral'!$C$5:$C$1000,B80,'Visão geral'!$G$5:$G$1000))</f>
        <v/>
      </c>
      <c r="D80" s="83"/>
      <c r="E80" s="83"/>
      <c r="F80" s="83"/>
      <c r="H80" s="83"/>
      <c r="I80" s="88"/>
      <c r="J80" s="83"/>
      <c r="K80" s="83"/>
    </row>
    <row r="81" spans="2:11" s="87" customFormat="1" ht="20" customHeight="1" x14ac:dyDescent="0.3">
      <c r="B81" s="88" t="str">
        <f t="array" ref="B81">IFERROR(
  INDEX('Visão geral'!$C$5:$C$1000,
         MATCH(0,
                 IF('Visão geral'!$C$5:$C$1000&lt;&gt;"",
                    COUNTIF($B$4:B80,'Visão geral'!$C$5:$C$1000),
                 ""),
         0)
  ),
"")</f>
        <v/>
      </c>
      <c r="C81" s="93" t="str">
        <f>IF(B81="","",SUMIF('Visão geral'!$C$5:$C$1000,B81,'Visão geral'!$G$5:$G$1000))</f>
        <v/>
      </c>
      <c r="D81" s="83"/>
      <c r="E81" s="83"/>
      <c r="F81" s="83"/>
      <c r="H81" s="83"/>
      <c r="I81" s="88"/>
      <c r="J81" s="83"/>
      <c r="K81" s="83"/>
    </row>
    <row r="82" spans="2:11" s="87" customFormat="1" ht="20" customHeight="1" x14ac:dyDescent="0.3">
      <c r="B82" s="90" t="str">
        <f t="array" ref="B82">IFERROR(
  INDEX('Visão geral'!$C$5:$C$1000,
         MATCH(0,
                 IF('Visão geral'!$C$5:$C$1000&lt;&gt;"",
                    COUNTIF($B$4:B81,'Visão geral'!$C$5:$C$1000),
                 ""),
         0)
  ),
"")</f>
        <v/>
      </c>
      <c r="C82" s="93" t="str">
        <f>IF(B82="","",SUMIF('Visão geral'!$C$5:$C$1000,B82,'Visão geral'!$G$5:$G$1000))</f>
        <v/>
      </c>
      <c r="D82" s="83"/>
      <c r="E82" s="83"/>
      <c r="F82" s="83"/>
      <c r="H82" s="83"/>
      <c r="I82" s="88"/>
      <c r="J82" s="83"/>
      <c r="K82" s="83"/>
    </row>
    <row r="83" spans="2:11" s="87" customFormat="1" ht="20" customHeight="1" x14ac:dyDescent="0.3">
      <c r="B83" s="88" t="str">
        <f t="array" ref="B83">IFERROR(
  INDEX('Visão geral'!$C$5:$C$1000,
         MATCH(0,
                 IF('Visão geral'!$C$5:$C$1000&lt;&gt;"",
                    COUNTIF($B$4:B82,'Visão geral'!$C$5:$C$1000),
                 ""),
         0)
  ),
"")</f>
        <v/>
      </c>
      <c r="C83" s="93" t="str">
        <f>IF(B83="","",SUMIF('Visão geral'!$C$5:$C$1000,B83,'Visão geral'!$G$5:$G$1000))</f>
        <v/>
      </c>
      <c r="D83" s="83"/>
      <c r="E83" s="83"/>
      <c r="F83" s="83"/>
      <c r="H83" s="83"/>
      <c r="I83" s="88"/>
      <c r="J83" s="83"/>
      <c r="K83" s="83"/>
    </row>
    <row r="84" spans="2:11" s="87" customFormat="1" ht="20" customHeight="1" x14ac:dyDescent="0.3">
      <c r="B84" s="88" t="str">
        <f t="array" ref="B84">IFERROR(
  INDEX('Visão geral'!$C$5:$C$1000,
         MATCH(0,
                 IF('Visão geral'!$C$5:$C$1000&lt;&gt;"",
                    COUNTIF($B$4:B83,'Visão geral'!$C$5:$C$1000),
                 ""),
         0)
  ),
"")</f>
        <v/>
      </c>
      <c r="C84" s="93" t="str">
        <f>IF(B84="","",SUMIF('Visão geral'!$C$5:$C$1000,B84,'Visão geral'!$G$5:$G$1000))</f>
        <v/>
      </c>
      <c r="D84" s="83"/>
      <c r="E84" s="83"/>
      <c r="F84" s="83"/>
      <c r="H84" s="83"/>
      <c r="I84" s="88"/>
      <c r="J84" s="83"/>
      <c r="K84" s="83"/>
    </row>
    <row r="85" spans="2:11" s="87" customFormat="1" ht="20" customHeight="1" x14ac:dyDescent="0.3">
      <c r="B85" s="91" t="str">
        <f t="array" ref="B85">IFERROR(
  INDEX('Visão geral'!$C$5:$C$1000,
         MATCH(0,
                 IF('Visão geral'!$C$5:$C$1000&lt;&gt;"",
                    COUNTIF($B$4:B84,'Visão geral'!$C$5:$C$1000),
                 ""),
         0)
  ),
"")</f>
        <v/>
      </c>
      <c r="C85" s="93" t="str">
        <f>IF(B85="","",SUMIF('Visão geral'!$C$5:$C$1000,B85,'Visão geral'!$G$5:$G$1000))</f>
        <v/>
      </c>
      <c r="D85" s="83"/>
      <c r="E85" s="83"/>
      <c r="F85" s="83"/>
      <c r="H85" s="83"/>
      <c r="I85" s="88"/>
      <c r="J85" s="83"/>
      <c r="K85" s="83"/>
    </row>
    <row r="86" spans="2:11" s="87" customFormat="1" ht="20" customHeight="1" x14ac:dyDescent="0.3">
      <c r="B86" s="88" t="str">
        <f t="array" ref="B86">IFERROR(
  INDEX('Visão geral'!$C$5:$C$1000,
         MATCH(0,
                 IF('Visão geral'!$C$5:$C$1000&lt;&gt;"",
                    COUNTIF($B$4:B85,'Visão geral'!$C$5:$C$1000),
                 ""),
         0)
  ),
"")</f>
        <v/>
      </c>
      <c r="C86" s="93" t="str">
        <f>IF(B86="","",SUMIF('Visão geral'!$C$5:$C$1000,B86,'Visão geral'!$G$5:$G$1000))</f>
        <v/>
      </c>
      <c r="D86" s="83"/>
      <c r="E86" s="83"/>
      <c r="F86" s="83"/>
      <c r="H86" s="83"/>
      <c r="I86" s="88"/>
      <c r="J86" s="83"/>
      <c r="K86" s="83"/>
    </row>
    <row r="87" spans="2:11" s="87" customFormat="1" ht="20" customHeight="1" x14ac:dyDescent="0.3">
      <c r="B87" s="88" t="str">
        <f t="array" ref="B87">IFERROR(
  INDEX('Visão geral'!$C$5:$C$1000,
         MATCH(0,
                 IF('Visão geral'!$C$5:$C$1000&lt;&gt;"",
                    COUNTIF($B$4:B86,'Visão geral'!$C$5:$C$1000),
                 ""),
         0)
  ),
"")</f>
        <v/>
      </c>
      <c r="C87" s="93" t="str">
        <f>IF(B87="","",SUMIF('Visão geral'!$C$5:$C$1000,B87,'Visão geral'!$G$5:$G$1000))</f>
        <v/>
      </c>
      <c r="D87" s="83"/>
      <c r="E87" s="83"/>
      <c r="F87" s="83"/>
      <c r="H87" s="83"/>
      <c r="I87" s="88"/>
      <c r="J87" s="83"/>
      <c r="K87" s="83"/>
    </row>
    <row r="88" spans="2:11" s="87" customFormat="1" ht="20" customHeight="1" x14ac:dyDescent="0.3">
      <c r="B88" s="90" t="str">
        <f t="array" ref="B88">IFERROR(
  INDEX('Visão geral'!$C$5:$C$1000,
         MATCH(0,
                 IF('Visão geral'!$C$5:$C$1000&lt;&gt;"",
                    COUNTIF($B$4:B87,'Visão geral'!$C$5:$C$1000),
                 ""),
         0)
  ),
"")</f>
        <v/>
      </c>
      <c r="C88" s="93" t="str">
        <f>IF(B88="","",SUMIF('Visão geral'!$C$5:$C$1000,B88,'Visão geral'!$G$5:$G$1000))</f>
        <v/>
      </c>
      <c r="D88" s="83"/>
      <c r="E88" s="83"/>
      <c r="F88" s="83"/>
      <c r="H88" s="83"/>
      <c r="I88" s="88"/>
      <c r="J88" s="83"/>
      <c r="K88" s="83"/>
    </row>
    <row r="89" spans="2:11" s="87" customFormat="1" ht="20" customHeight="1" x14ac:dyDescent="0.3">
      <c r="B89" s="88" t="str">
        <f t="array" ref="B89">IFERROR(
  INDEX('Visão geral'!$C$5:$C$1000,
         MATCH(0,
                 IF('Visão geral'!$C$5:$C$1000&lt;&gt;"",
                    COUNTIF($B$4:B88,'Visão geral'!$C$5:$C$1000),
                 ""),
         0)
  ),
"")</f>
        <v/>
      </c>
      <c r="C89" s="93" t="str">
        <f>IF(B89="","",SUMIF('Visão geral'!$C$5:$C$1000,B89,'Visão geral'!$G$5:$G$1000))</f>
        <v/>
      </c>
      <c r="D89" s="83"/>
      <c r="E89" s="83"/>
      <c r="F89" s="83"/>
      <c r="H89" s="83"/>
      <c r="I89" s="88"/>
      <c r="J89" s="83"/>
      <c r="K89" s="83"/>
    </row>
    <row r="90" spans="2:11" s="87" customFormat="1" ht="20" customHeight="1" x14ac:dyDescent="0.3">
      <c r="B90" s="88" t="str">
        <f t="array" ref="B90">IFERROR(
  INDEX('Visão geral'!$C$5:$C$1000,
         MATCH(0,
                 IF('Visão geral'!$C$5:$C$1000&lt;&gt;"",
                    COUNTIF($B$4:B89,'Visão geral'!$C$5:$C$1000),
                 ""),
         0)
  ),
"")</f>
        <v/>
      </c>
      <c r="C90" s="93" t="str">
        <f>IF(B90="","",SUMIF('Visão geral'!$C$5:$C$1000,B90,'Visão geral'!$G$5:$G$1000))</f>
        <v/>
      </c>
      <c r="D90" s="83"/>
      <c r="E90" s="83"/>
      <c r="F90" s="83"/>
      <c r="H90" s="83"/>
      <c r="I90" s="88"/>
      <c r="J90" s="83"/>
      <c r="K90" s="83"/>
    </row>
    <row r="91" spans="2:11" s="87" customFormat="1" ht="20" customHeight="1" x14ac:dyDescent="0.3">
      <c r="B91" s="91" t="str">
        <f t="array" ref="B91">IFERROR(
  INDEX('Visão geral'!$C$5:$C$1000,
         MATCH(0,
                 IF('Visão geral'!$C$5:$C$1000&lt;&gt;"",
                    COUNTIF($B$4:B90,'Visão geral'!$C$5:$C$1000),
                 ""),
         0)
  ),
"")</f>
        <v/>
      </c>
      <c r="C91" s="93" t="str">
        <f>IF(B91="","",SUMIF('Visão geral'!$C$5:$C$1000,B91,'Visão geral'!$G$5:$G$1000))</f>
        <v/>
      </c>
      <c r="D91" s="83"/>
      <c r="E91" s="83"/>
      <c r="F91" s="83"/>
      <c r="H91" s="83"/>
      <c r="I91" s="88"/>
      <c r="J91" s="83"/>
      <c r="K91" s="83"/>
    </row>
    <row r="92" spans="2:11" s="87" customFormat="1" ht="20" customHeight="1" x14ac:dyDescent="0.3">
      <c r="B92" s="88" t="str">
        <f t="array" ref="B92">IFERROR(
  INDEX('Visão geral'!$C$5:$C$1000,
         MATCH(0,
                 IF('Visão geral'!$C$5:$C$1000&lt;&gt;"",
                    COUNTIF($B$4:B91,'Visão geral'!$C$5:$C$1000),
                 ""),
         0)
  ),
"")</f>
        <v/>
      </c>
      <c r="C92" s="93" t="str">
        <f>IF(B92="","",SUMIF('Visão geral'!$C$5:$C$1000,B92,'Visão geral'!$G$5:$G$1000))</f>
        <v/>
      </c>
      <c r="D92" s="83"/>
      <c r="E92" s="83"/>
      <c r="F92" s="83"/>
      <c r="H92" s="83"/>
      <c r="I92" s="88"/>
      <c r="J92" s="83"/>
      <c r="K92" s="83"/>
    </row>
    <row r="93" spans="2:11" s="87" customFormat="1" ht="20" customHeight="1" x14ac:dyDescent="0.3">
      <c r="B93" s="88" t="str">
        <f t="array" ref="B93">IFERROR(
  INDEX('Visão geral'!$C$5:$C$1000,
         MATCH(0,
                 IF('Visão geral'!$C$5:$C$1000&lt;&gt;"",
                    COUNTIF($B$4:B92,'Visão geral'!$C$5:$C$1000),
                 ""),
         0)
  ),
"")</f>
        <v/>
      </c>
      <c r="C93" s="93" t="str">
        <f>IF(B93="","",SUMIF('Visão geral'!$C$5:$C$1000,B93,'Visão geral'!$G$5:$G$1000))</f>
        <v/>
      </c>
      <c r="D93" s="83"/>
      <c r="E93" s="83"/>
      <c r="F93" s="83"/>
      <c r="H93" s="83"/>
      <c r="I93" s="88"/>
      <c r="J93" s="83"/>
      <c r="K93" s="83"/>
    </row>
    <row r="94" spans="2:11" s="87" customFormat="1" ht="20" customHeight="1" x14ac:dyDescent="0.3">
      <c r="B94" s="90" t="str">
        <f t="array" ref="B94">IFERROR(
  INDEX('Visão geral'!$C$5:$C$1000,
         MATCH(0,
                 IF('Visão geral'!$C$5:$C$1000&lt;&gt;"",
                    COUNTIF($B$4:B93,'Visão geral'!$C$5:$C$1000),
                 ""),
         0)
  ),
"")</f>
        <v/>
      </c>
      <c r="C94" s="93" t="str">
        <f>IF(B94="","",SUMIF('Visão geral'!$C$5:$C$1000,B94,'Visão geral'!$G$5:$G$1000))</f>
        <v/>
      </c>
      <c r="D94" s="83"/>
      <c r="E94" s="83"/>
      <c r="F94" s="83"/>
      <c r="H94" s="83"/>
      <c r="I94" s="88"/>
      <c r="J94" s="83"/>
      <c r="K94" s="83"/>
    </row>
    <row r="95" spans="2:11" s="87" customFormat="1" ht="20" customHeight="1" x14ac:dyDescent="0.3">
      <c r="B95" s="88" t="str">
        <f t="array" ref="B95">IFERROR(
  INDEX('Visão geral'!$C$5:$C$1000,
         MATCH(0,
                 IF('Visão geral'!$C$5:$C$1000&lt;&gt;"",
                    COUNTIF($B$4:B94,'Visão geral'!$C$5:$C$1000),
                 ""),
         0)
  ),
"")</f>
        <v/>
      </c>
      <c r="C95" s="93" t="str">
        <f>IF(B95="","",SUMIF('Visão geral'!$C$5:$C$1000,B95,'Visão geral'!$G$5:$G$1000))</f>
        <v/>
      </c>
      <c r="D95" s="83"/>
      <c r="E95" s="83"/>
      <c r="F95" s="83"/>
      <c r="H95" s="83"/>
      <c r="I95" s="88"/>
      <c r="J95" s="83"/>
      <c r="K95" s="83"/>
    </row>
    <row r="96" spans="2:11" s="87" customFormat="1" ht="20" customHeight="1" x14ac:dyDescent="0.3">
      <c r="B96" s="88" t="str">
        <f t="array" ref="B96">IFERROR(
  INDEX('Visão geral'!$C$5:$C$1000,
         MATCH(0,
                 IF('Visão geral'!$C$5:$C$1000&lt;&gt;"",
                    COUNTIF($B$4:B95,'Visão geral'!$C$5:$C$1000),
                 ""),
         0)
  ),
"")</f>
        <v/>
      </c>
      <c r="C96" s="93" t="str">
        <f>IF(B96="","",SUMIF('Visão geral'!$C$5:$C$1000,B96,'Visão geral'!$G$5:$G$1000))</f>
        <v/>
      </c>
      <c r="D96" s="83"/>
      <c r="E96" s="83"/>
      <c r="F96" s="83"/>
      <c r="H96" s="83"/>
      <c r="I96" s="88"/>
      <c r="J96" s="83"/>
      <c r="K96" s="83"/>
    </row>
    <row r="97" spans="2:11" s="87" customFormat="1" ht="20" customHeight="1" x14ac:dyDescent="0.3">
      <c r="B97" s="91" t="str">
        <f t="array" ref="B97">IFERROR(
  INDEX('Visão geral'!$C$5:$C$1000,
         MATCH(0,
                 IF('Visão geral'!$C$5:$C$1000&lt;&gt;"",
                    COUNTIF($B$4:B96,'Visão geral'!$C$5:$C$1000),
                 ""),
         0)
  ),
"")</f>
        <v/>
      </c>
      <c r="C97" s="93" t="str">
        <f>IF(B97="","",SUMIF('Visão geral'!$C$5:$C$1000,B97,'Visão geral'!$G$5:$G$1000))</f>
        <v/>
      </c>
      <c r="D97" s="83"/>
      <c r="E97" s="83"/>
      <c r="F97" s="83"/>
      <c r="H97" s="83"/>
      <c r="I97" s="88"/>
      <c r="J97" s="83"/>
      <c r="K97" s="83"/>
    </row>
    <row r="98" spans="2:11" s="87" customFormat="1" ht="20" customHeight="1" x14ac:dyDescent="0.3">
      <c r="B98" s="88" t="str">
        <f t="array" ref="B98">IFERROR(
  INDEX('Visão geral'!$C$5:$C$1000,
         MATCH(0,
                 IF('Visão geral'!$C$5:$C$1000&lt;&gt;"",
                    COUNTIF($B$4:B97,'Visão geral'!$C$5:$C$1000),
                 ""),
         0)
  ),
"")</f>
        <v/>
      </c>
      <c r="C98" s="93" t="str">
        <f>IF(B98="","",SUMIF('Visão geral'!$C$5:$C$1000,B98,'Visão geral'!$G$5:$G$1000))</f>
        <v/>
      </c>
      <c r="D98" s="83"/>
      <c r="E98" s="83"/>
      <c r="F98" s="83"/>
      <c r="H98" s="83"/>
      <c r="I98" s="88"/>
      <c r="J98" s="83"/>
      <c r="K98" s="83"/>
    </row>
    <row r="99" spans="2:11" s="87" customFormat="1" ht="20" customHeight="1" x14ac:dyDescent="0.3">
      <c r="B99" s="88" t="str">
        <f t="array" ref="B99">IFERROR(
  INDEX('Visão geral'!$C$5:$C$1000,
         MATCH(0,
                 IF('Visão geral'!$C$5:$C$1000&lt;&gt;"",
                    COUNTIF($B$4:B98,'Visão geral'!$C$5:$C$1000),
                 ""),
         0)
  ),
"")</f>
        <v/>
      </c>
      <c r="C99" s="93" t="str">
        <f>IF(B99="","",SUMIF('Visão geral'!$C$5:$C$1000,B99,'Visão geral'!$G$5:$G$1000))</f>
        <v/>
      </c>
      <c r="D99" s="83"/>
      <c r="E99" s="83"/>
      <c r="F99" s="83"/>
      <c r="H99" s="83"/>
      <c r="I99" s="88"/>
      <c r="J99" s="83"/>
      <c r="K99" s="83"/>
    </row>
    <row r="100" spans="2:11" s="87" customFormat="1" ht="20" customHeight="1" x14ac:dyDescent="0.3">
      <c r="B100" s="90" t="str">
        <f t="array" ref="B100">IFERROR(
  INDEX('Visão geral'!$C$5:$C$1000,
         MATCH(0,
                 IF('Visão geral'!$C$5:$C$1000&lt;&gt;"",
                    COUNTIF($B$4:B99,'Visão geral'!$C$5:$C$1000),
                 ""),
         0)
  ),
"")</f>
        <v/>
      </c>
      <c r="C100" s="93" t="str">
        <f>IF(B100="","",SUMIF('Visão geral'!$C$5:$C$1000,B100,'Visão geral'!$G$5:$G$1000))</f>
        <v/>
      </c>
      <c r="D100" s="83"/>
      <c r="E100" s="83"/>
      <c r="F100" s="83"/>
      <c r="H100" s="83"/>
      <c r="I100" s="88"/>
      <c r="J100" s="83"/>
      <c r="K100" s="83"/>
    </row>
    <row r="101" spans="2:11" s="87" customFormat="1" ht="20" customHeight="1" x14ac:dyDescent="0.3">
      <c r="B101" s="88" t="str">
        <f t="array" ref="B101">IFERROR(
  INDEX('Visão geral'!$C$5:$C$1000,
         MATCH(0,
                 IF('Visão geral'!$C$5:$C$1000&lt;&gt;"",
                    COUNTIF($B$4:B100,'Visão geral'!$C$5:$C$1000),
                 ""),
         0)
  ),
"")</f>
        <v/>
      </c>
      <c r="C101" s="93" t="str">
        <f>IF(B101="","",SUMIF('Visão geral'!$C$5:$C$1000,B101,'Visão geral'!$G$5:$G$1000))</f>
        <v/>
      </c>
      <c r="D101" s="83"/>
      <c r="E101" s="83"/>
      <c r="F101" s="83"/>
      <c r="H101" s="83"/>
      <c r="I101" s="88"/>
      <c r="J101" s="83"/>
      <c r="K101" s="83"/>
    </row>
    <row r="102" spans="2:11" s="87" customFormat="1" ht="20" customHeight="1" x14ac:dyDescent="0.3">
      <c r="B102" s="88" t="str">
        <f t="array" ref="B102">IFERROR(
  INDEX('Visão geral'!$C$5:$C$1000,
         MATCH(0,
                 IF('Visão geral'!$C$5:$C$1000&lt;&gt;"",
                    COUNTIF($B$4:B101,'Visão geral'!$C$5:$C$1000),
                 ""),
         0)
  ),
"")</f>
        <v/>
      </c>
      <c r="C102" s="93" t="str">
        <f>IF(B102="","",SUMIF('Visão geral'!$C$5:$C$1000,B102,'Visão geral'!$G$5:$G$1000))</f>
        <v/>
      </c>
      <c r="D102" s="83"/>
      <c r="E102" s="83"/>
      <c r="F102" s="83"/>
      <c r="H102" s="83"/>
      <c r="I102" s="88"/>
      <c r="J102" s="83"/>
      <c r="K102" s="83"/>
    </row>
    <row r="103" spans="2:11" s="87" customFormat="1" ht="20" customHeight="1" x14ac:dyDescent="0.3">
      <c r="B103" s="91" t="str">
        <f t="array" ref="B103">IFERROR(
  INDEX('Visão geral'!$C$5:$C$1000,
         MATCH(0,
                 IF('Visão geral'!$C$5:$C$1000&lt;&gt;"",
                    COUNTIF($B$4:B102,'Visão geral'!$C$5:$C$1000),
                 ""),
         0)
  ),
"")</f>
        <v/>
      </c>
      <c r="C103" s="93" t="str">
        <f>IF(B103="","",SUMIF('Visão geral'!$C$5:$C$1000,B103,'Visão geral'!$G$5:$G$1000))</f>
        <v/>
      </c>
      <c r="D103" s="83"/>
      <c r="E103" s="83"/>
      <c r="F103" s="83"/>
      <c r="H103" s="83"/>
      <c r="I103" s="88"/>
      <c r="J103" s="83"/>
      <c r="K103" s="83"/>
    </row>
    <row r="104" spans="2:11" s="87" customFormat="1" ht="20" customHeight="1" x14ac:dyDescent="0.3">
      <c r="B104" s="88" t="str">
        <f t="array" ref="B104">IFERROR(
  INDEX('Visão geral'!$C$5:$C$1000,
         MATCH(0,
                 IF('Visão geral'!$C$5:$C$1000&lt;&gt;"",
                    COUNTIF($B$4:B103,'Visão geral'!$C$5:$C$1000),
                 ""),
         0)
  ),
"")</f>
        <v/>
      </c>
      <c r="C104" s="93" t="str">
        <f>IF(B104="","",SUMIF('Visão geral'!$C$5:$C$1000,B104,'Visão geral'!$G$5:$G$1000))</f>
        <v/>
      </c>
      <c r="D104" s="83"/>
      <c r="E104" s="83"/>
      <c r="F104" s="83"/>
      <c r="H104" s="83"/>
      <c r="I104" s="88"/>
      <c r="J104" s="83"/>
      <c r="K104" s="83"/>
    </row>
    <row r="105" spans="2:11" s="87" customFormat="1" ht="20" customHeight="1" x14ac:dyDescent="0.3">
      <c r="B105" s="88" t="str">
        <f t="array" ref="B105">IFERROR(
  INDEX('Visão geral'!$C$5:$C$1000,
         MATCH(0,
                 IF('Visão geral'!$C$5:$C$1000&lt;&gt;"",
                    COUNTIF($B$4:B104,'Visão geral'!$C$5:$C$1000),
                 ""),
         0)
  ),
"")</f>
        <v/>
      </c>
      <c r="C105" s="93" t="str">
        <f>IF(B105="","",SUMIF('Visão geral'!$C$5:$C$1000,B105,'Visão geral'!$G$5:$G$1000))</f>
        <v/>
      </c>
      <c r="D105" s="83"/>
      <c r="E105" s="83"/>
      <c r="F105" s="83"/>
      <c r="H105" s="83"/>
      <c r="I105" s="88"/>
      <c r="J105" s="83"/>
      <c r="K105" s="83"/>
    </row>
    <row r="106" spans="2:11" s="87" customFormat="1" ht="20" customHeight="1" x14ac:dyDescent="0.3">
      <c r="B106" s="90" t="str">
        <f t="array" ref="B106">IFERROR(
  INDEX('Visão geral'!$C$5:$C$1000,
         MATCH(0,
                 IF('Visão geral'!$C$5:$C$1000&lt;&gt;"",
                    COUNTIF($B$4:B105,'Visão geral'!$C$5:$C$1000),
                 ""),
         0)
  ),
"")</f>
        <v/>
      </c>
      <c r="C106" s="93" t="str">
        <f>IF(B106="","",SUMIF('Visão geral'!$C$5:$C$1000,B106,'Visão geral'!$G$5:$G$1000))</f>
        <v/>
      </c>
      <c r="D106" s="83"/>
      <c r="E106" s="83"/>
      <c r="F106" s="83"/>
      <c r="H106" s="83"/>
      <c r="I106" s="88"/>
      <c r="J106" s="83"/>
      <c r="K106" s="83"/>
    </row>
    <row r="107" spans="2:11" s="87" customFormat="1" ht="20" customHeight="1" x14ac:dyDescent="0.3">
      <c r="B107" s="88" t="str">
        <f t="array" ref="B107">IFERROR(
  INDEX('Visão geral'!$C$5:$C$1000,
         MATCH(0,
                 IF('Visão geral'!$C$5:$C$1000&lt;&gt;"",
                    COUNTIF($B$4:B106,'Visão geral'!$C$5:$C$1000),
                 ""),
         0)
  ),
"")</f>
        <v/>
      </c>
      <c r="C107" s="93" t="str">
        <f>IF(B107="","",SUMIF('Visão geral'!$C$5:$C$1000,B107,'Visão geral'!$G$5:$G$1000))</f>
        <v/>
      </c>
      <c r="D107" s="83"/>
      <c r="E107" s="83"/>
      <c r="F107" s="83"/>
      <c r="H107" s="83"/>
      <c r="I107" s="88"/>
      <c r="J107" s="83"/>
      <c r="K107" s="83"/>
    </row>
    <row r="108" spans="2:11" s="87" customFormat="1" ht="20" customHeight="1" x14ac:dyDescent="0.3">
      <c r="B108" s="88" t="str">
        <f t="array" ref="B108">IFERROR(
  INDEX('Visão geral'!$C$5:$C$1000,
         MATCH(0,
                 IF('Visão geral'!$C$5:$C$1000&lt;&gt;"",
                    COUNTIF($B$4:B107,'Visão geral'!$C$5:$C$1000),
                 ""),
         0)
  ),
"")</f>
        <v/>
      </c>
      <c r="C108" s="93" t="str">
        <f>IF(B108="","",SUMIF('Visão geral'!$C$5:$C$1000,B108,'Visão geral'!$G$5:$G$1000))</f>
        <v/>
      </c>
      <c r="D108" s="83"/>
      <c r="E108" s="83"/>
      <c r="F108" s="83"/>
      <c r="H108" s="83"/>
      <c r="I108" s="88"/>
      <c r="J108" s="83"/>
      <c r="K108" s="83"/>
    </row>
    <row r="109" spans="2:11" s="87" customFormat="1" ht="20" customHeight="1" x14ac:dyDescent="0.3">
      <c r="B109" s="91" t="str">
        <f t="array" ref="B109">IFERROR(
  INDEX('Visão geral'!$C$5:$C$1000,
         MATCH(0,
                 IF('Visão geral'!$C$5:$C$1000&lt;&gt;"",
                    COUNTIF($B$4:B108,'Visão geral'!$C$5:$C$1000),
                 ""),
         0)
  ),
"")</f>
        <v/>
      </c>
      <c r="C109" s="93" t="str">
        <f>IF(B109="","",SUMIF('Visão geral'!$C$5:$C$1000,B109,'Visão geral'!$G$5:$G$1000))</f>
        <v/>
      </c>
      <c r="D109" s="83"/>
      <c r="E109" s="83"/>
      <c r="F109" s="83"/>
      <c r="H109" s="83"/>
      <c r="I109" s="88"/>
      <c r="J109" s="83"/>
      <c r="K109" s="83"/>
    </row>
    <row r="110" spans="2:11" s="87" customFormat="1" ht="20" customHeight="1" x14ac:dyDescent="0.3">
      <c r="B110" s="88" t="str">
        <f t="array" ref="B110">IFERROR(
  INDEX('Visão geral'!$C$5:$C$1000,
         MATCH(0,
                 IF('Visão geral'!$C$5:$C$1000&lt;&gt;"",
                    COUNTIF($B$4:B109,'Visão geral'!$C$5:$C$1000),
                 ""),
         0)
  ),
"")</f>
        <v/>
      </c>
      <c r="C110" s="93" t="str">
        <f>IF(B110="","",SUMIF('Visão geral'!$C$5:$C$1000,B110,'Visão geral'!$G$5:$G$1000))</f>
        <v/>
      </c>
      <c r="D110" s="83"/>
      <c r="E110" s="83"/>
      <c r="F110" s="83"/>
      <c r="H110" s="83"/>
      <c r="I110" s="88"/>
      <c r="J110" s="83"/>
      <c r="K110" s="83"/>
    </row>
    <row r="111" spans="2:11" s="87" customFormat="1" ht="20" customHeight="1" x14ac:dyDescent="0.3">
      <c r="B111" s="88" t="str">
        <f t="array" ref="B111">IFERROR(
  INDEX('Visão geral'!$C$5:$C$1000,
         MATCH(0,
                 IF('Visão geral'!$C$5:$C$1000&lt;&gt;"",
                    COUNTIF($B$4:B110,'Visão geral'!$C$5:$C$1000),
                 ""),
         0)
  ),
"")</f>
        <v/>
      </c>
      <c r="C111" s="93" t="str">
        <f>IF(B111="","",SUMIF('Visão geral'!$C$5:$C$1000,B111,'Visão geral'!$G$5:$G$1000))</f>
        <v/>
      </c>
      <c r="D111" s="83"/>
      <c r="E111" s="83"/>
      <c r="F111" s="83"/>
      <c r="H111" s="83"/>
      <c r="I111" s="88"/>
      <c r="J111" s="83"/>
      <c r="K111" s="83"/>
    </row>
    <row r="112" spans="2:11" s="87" customFormat="1" ht="20" customHeight="1" x14ac:dyDescent="0.3">
      <c r="B112" s="90" t="str">
        <f t="array" ref="B112">IFERROR(
  INDEX('Visão geral'!$C$5:$C$1000,
         MATCH(0,
                 IF('Visão geral'!$C$5:$C$1000&lt;&gt;"",
                    COUNTIF($B$4:B111,'Visão geral'!$C$5:$C$1000),
                 ""),
         0)
  ),
"")</f>
        <v/>
      </c>
      <c r="C112" s="93" t="str">
        <f>IF(B112="","",SUMIF('Visão geral'!$C$5:$C$1000,B112,'Visão geral'!$G$5:$G$1000))</f>
        <v/>
      </c>
      <c r="D112" s="83"/>
      <c r="E112" s="83"/>
      <c r="F112" s="83"/>
      <c r="H112" s="83"/>
      <c r="I112" s="88"/>
      <c r="J112" s="83"/>
      <c r="K112" s="83"/>
    </row>
    <row r="113" spans="2:11" s="87" customFormat="1" ht="20" customHeight="1" x14ac:dyDescent="0.3">
      <c r="B113" s="88" t="str">
        <f t="array" ref="B113">IFERROR(
  INDEX('Visão geral'!$C$5:$C$1000,
         MATCH(0,
                 IF('Visão geral'!$C$5:$C$1000&lt;&gt;"",
                    COUNTIF($B$4:B112,'Visão geral'!$C$5:$C$1000),
                 ""),
         0)
  ),
"")</f>
        <v/>
      </c>
      <c r="C113" s="93" t="str">
        <f>IF(B113="","",SUMIF('Visão geral'!$C$5:$C$1000,B113,'Visão geral'!$G$5:$G$1000))</f>
        <v/>
      </c>
      <c r="D113" s="83"/>
      <c r="E113" s="83"/>
      <c r="F113" s="83"/>
      <c r="H113" s="83"/>
      <c r="I113" s="88"/>
      <c r="J113" s="83"/>
      <c r="K113" s="83"/>
    </row>
    <row r="114" spans="2:11" s="87" customFormat="1" ht="20" customHeight="1" x14ac:dyDescent="0.3">
      <c r="B114" s="88" t="str">
        <f t="array" ref="B114">IFERROR(
  INDEX('Visão geral'!$C$5:$C$1000,
         MATCH(0,
                 IF('Visão geral'!$C$5:$C$1000&lt;&gt;"",
                    COUNTIF($B$4:B113,'Visão geral'!$C$5:$C$1000),
                 ""),
         0)
  ),
"")</f>
        <v/>
      </c>
      <c r="C114" s="93" t="str">
        <f>IF(B114="","",SUMIF('Visão geral'!$C$5:$C$1000,B114,'Visão geral'!$G$5:$G$1000))</f>
        <v/>
      </c>
      <c r="D114" s="83"/>
      <c r="E114" s="83"/>
      <c r="F114" s="83"/>
      <c r="H114" s="83"/>
      <c r="I114" s="88"/>
      <c r="J114" s="83"/>
      <c r="K114" s="83"/>
    </row>
    <row r="115" spans="2:11" s="87" customFormat="1" ht="20" customHeight="1" x14ac:dyDescent="0.3">
      <c r="B115" s="91" t="str">
        <f t="array" ref="B115">IFERROR(
  INDEX('Visão geral'!$C$5:$C$1000,
         MATCH(0,
                 IF('Visão geral'!$C$5:$C$1000&lt;&gt;"",
                    COUNTIF($B$4:B114,'Visão geral'!$C$5:$C$1000),
                 ""),
         0)
  ),
"")</f>
        <v/>
      </c>
      <c r="C115" s="93" t="str">
        <f>IF(B115="","",SUMIF('Visão geral'!$C$5:$C$1000,B115,'Visão geral'!$G$5:$G$1000))</f>
        <v/>
      </c>
      <c r="D115" s="83"/>
      <c r="E115" s="83"/>
      <c r="F115" s="83"/>
      <c r="H115" s="83"/>
      <c r="I115" s="88"/>
      <c r="J115" s="83"/>
      <c r="K115" s="83"/>
    </row>
    <row r="116" spans="2:11" s="87" customFormat="1" ht="20" customHeight="1" x14ac:dyDescent="0.3">
      <c r="B116" s="88" t="str">
        <f t="array" ref="B116">IFERROR(
  INDEX('Visão geral'!$C$5:$C$1000,
         MATCH(0,
                 IF('Visão geral'!$C$5:$C$1000&lt;&gt;"",
                    COUNTIF($B$4:B115,'Visão geral'!$C$5:$C$1000),
                 ""),
         0)
  ),
"")</f>
        <v/>
      </c>
      <c r="C116" s="93" t="str">
        <f>IF(B116="","",SUMIF('Visão geral'!$C$5:$C$1000,B116,'Visão geral'!$G$5:$G$1000))</f>
        <v/>
      </c>
      <c r="D116" s="83"/>
      <c r="E116" s="83"/>
      <c r="F116" s="83"/>
      <c r="H116" s="83"/>
      <c r="I116" s="88"/>
      <c r="J116" s="83"/>
      <c r="K116" s="83"/>
    </row>
    <row r="117" spans="2:11" s="87" customFormat="1" ht="20" customHeight="1" x14ac:dyDescent="0.3">
      <c r="B117" s="88" t="str">
        <f t="array" ref="B117">IFERROR(
  INDEX('Visão geral'!$C$5:$C$1000,
         MATCH(0,
                 IF('Visão geral'!$C$5:$C$1000&lt;&gt;"",
                    COUNTIF($B$4:B116,'Visão geral'!$C$5:$C$1000),
                 ""),
         0)
  ),
"")</f>
        <v/>
      </c>
      <c r="C117" s="93" t="str">
        <f>IF(B117="","",SUMIF('Visão geral'!$C$5:$C$1000,B117,'Visão geral'!$G$5:$G$1000))</f>
        <v/>
      </c>
      <c r="D117" s="83"/>
      <c r="E117" s="83"/>
      <c r="F117" s="83"/>
      <c r="H117" s="83"/>
      <c r="I117" s="88"/>
      <c r="J117" s="83"/>
      <c r="K117" s="83"/>
    </row>
    <row r="118" spans="2:11" s="87" customFormat="1" ht="20" customHeight="1" x14ac:dyDescent="0.3">
      <c r="B118" s="90" t="str">
        <f t="array" ref="B118">IFERROR(
  INDEX('Visão geral'!$C$5:$C$1000,
         MATCH(0,
                 IF('Visão geral'!$C$5:$C$1000&lt;&gt;"",
                    COUNTIF($B$4:B117,'Visão geral'!$C$5:$C$1000),
                 ""),
         0)
  ),
"")</f>
        <v/>
      </c>
      <c r="C118" s="93" t="str">
        <f>IF(B118="","",SUMIF('Visão geral'!$C$5:$C$1000,B118,'Visão geral'!$G$5:$G$1000))</f>
        <v/>
      </c>
      <c r="D118" s="83"/>
      <c r="E118" s="83"/>
      <c r="F118" s="83"/>
      <c r="H118" s="83"/>
      <c r="I118" s="88"/>
      <c r="J118" s="83"/>
      <c r="K118" s="83"/>
    </row>
    <row r="119" spans="2:11" s="87" customFormat="1" ht="20" customHeight="1" x14ac:dyDescent="0.3">
      <c r="B119" s="88" t="str">
        <f t="array" ref="B119">IFERROR(
  INDEX('Visão geral'!$C$5:$C$1000,
         MATCH(0,
                 IF('Visão geral'!$C$5:$C$1000&lt;&gt;"",
                    COUNTIF($B$4:B118,'Visão geral'!$C$5:$C$1000),
                 ""),
         0)
  ),
"")</f>
        <v/>
      </c>
      <c r="C119" s="93" t="str">
        <f>IF(B119="","",SUMIF('Visão geral'!$C$5:$C$1000,B119,'Visão geral'!$G$5:$G$1000))</f>
        <v/>
      </c>
      <c r="D119" s="83"/>
      <c r="E119" s="83"/>
      <c r="F119" s="83"/>
      <c r="H119" s="83"/>
      <c r="I119" s="88"/>
      <c r="J119" s="83"/>
      <c r="K119" s="83"/>
    </row>
    <row r="120" spans="2:11" s="87" customFormat="1" ht="20" customHeight="1" x14ac:dyDescent="0.3">
      <c r="B120" s="88" t="str">
        <f t="array" ref="B120">IFERROR(
  INDEX('Visão geral'!$C$5:$C$1000,
         MATCH(0,
                 IF('Visão geral'!$C$5:$C$1000&lt;&gt;"",
                    COUNTIF($B$4:B119,'Visão geral'!$C$5:$C$1000),
                 ""),
         0)
  ),
"")</f>
        <v/>
      </c>
      <c r="C120" s="93" t="str">
        <f>IF(B120="","",SUMIF('Visão geral'!$C$5:$C$1000,B120,'Visão geral'!$G$5:$G$1000))</f>
        <v/>
      </c>
      <c r="D120" s="83"/>
      <c r="E120" s="83"/>
      <c r="F120" s="83"/>
      <c r="H120" s="83"/>
      <c r="I120" s="88"/>
      <c r="J120" s="83"/>
      <c r="K120" s="83"/>
    </row>
    <row r="121" spans="2:11" s="87" customFormat="1" ht="20" customHeight="1" x14ac:dyDescent="0.3">
      <c r="B121" s="91" t="str">
        <f t="array" ref="B121">IFERROR(
  INDEX('Visão geral'!$C$5:$C$1000,
         MATCH(0,
                 IF('Visão geral'!$C$5:$C$1000&lt;&gt;"",
                    COUNTIF($B$4:B120,'Visão geral'!$C$5:$C$1000),
                 ""),
         0)
  ),
"")</f>
        <v/>
      </c>
      <c r="C121" s="93" t="str">
        <f>IF(B121="","",SUMIF('Visão geral'!$C$5:$C$1000,B121,'Visão geral'!$G$5:$G$1000))</f>
        <v/>
      </c>
      <c r="D121" s="83"/>
      <c r="E121" s="83"/>
      <c r="F121" s="83"/>
      <c r="H121" s="83"/>
      <c r="I121" s="88"/>
      <c r="J121" s="83"/>
      <c r="K121" s="83"/>
    </row>
    <row r="122" spans="2:11" s="87" customFormat="1" ht="20" customHeight="1" x14ac:dyDescent="0.3">
      <c r="B122" s="88" t="str">
        <f t="array" ref="B122">IFERROR(
  INDEX('Visão geral'!$C$5:$C$1000,
         MATCH(0,
                 IF('Visão geral'!$C$5:$C$1000&lt;&gt;"",
                    COUNTIF($B$4:B121,'Visão geral'!$C$5:$C$1000),
                 ""),
         0)
  ),
"")</f>
        <v/>
      </c>
      <c r="C122" s="93" t="str">
        <f>IF(B122="","",SUMIF('Visão geral'!$C$5:$C$1000,B122,'Visão geral'!$G$5:$G$1000))</f>
        <v/>
      </c>
      <c r="D122" s="83"/>
      <c r="E122" s="83"/>
      <c r="F122" s="83"/>
      <c r="H122" s="83"/>
      <c r="I122" s="88"/>
      <c r="J122" s="83"/>
      <c r="K122" s="83"/>
    </row>
    <row r="123" spans="2:11" s="87" customFormat="1" ht="20" customHeight="1" x14ac:dyDescent="0.3">
      <c r="B123" s="88" t="str">
        <f t="array" ref="B123">IFERROR(
  INDEX('Visão geral'!$C$5:$C$1000,
         MATCH(0,
                 IF('Visão geral'!$C$5:$C$1000&lt;&gt;"",
                    COUNTIF($B$4:B122,'Visão geral'!$C$5:$C$1000),
                 ""),
         0)
  ),
"")</f>
        <v/>
      </c>
      <c r="C123" s="93" t="str">
        <f>IF(B123="","",SUMIF('Visão geral'!$C$5:$C$1000,B123,'Visão geral'!$G$5:$G$1000))</f>
        <v/>
      </c>
      <c r="D123" s="83"/>
      <c r="E123" s="83"/>
      <c r="F123" s="83"/>
      <c r="H123" s="83"/>
      <c r="I123" s="88"/>
      <c r="J123" s="83"/>
      <c r="K123" s="83"/>
    </row>
    <row r="124" spans="2:11" s="87" customFormat="1" ht="20" customHeight="1" x14ac:dyDescent="0.3">
      <c r="B124" s="90" t="str">
        <f t="array" ref="B124">IFERROR(
  INDEX('Visão geral'!$C$5:$C$1000,
         MATCH(0,
                 IF('Visão geral'!$C$5:$C$1000&lt;&gt;"",
                    COUNTIF($B$4:B123,'Visão geral'!$C$5:$C$1000),
                 ""),
         0)
  ),
"")</f>
        <v/>
      </c>
      <c r="C124" s="93" t="str">
        <f>IF(B124="","",SUMIF('Visão geral'!$C$5:$C$1000,B124,'Visão geral'!$G$5:$G$1000))</f>
        <v/>
      </c>
      <c r="D124" s="83"/>
      <c r="E124" s="83"/>
      <c r="F124" s="83"/>
      <c r="H124" s="83"/>
      <c r="I124" s="88"/>
      <c r="J124" s="83"/>
      <c r="K124" s="83"/>
    </row>
    <row r="125" spans="2:11" s="87" customFormat="1" ht="20" customHeight="1" x14ac:dyDescent="0.3">
      <c r="B125" s="88" t="str">
        <f t="array" ref="B125">IFERROR(
  INDEX('Visão geral'!$C$5:$C$1000,
         MATCH(0,
                 IF('Visão geral'!$C$5:$C$1000&lt;&gt;"",
                    COUNTIF($B$4:B124,'Visão geral'!$C$5:$C$1000),
                 ""),
         0)
  ),
"")</f>
        <v/>
      </c>
      <c r="C125" s="93" t="str">
        <f>IF(B125="","",SUMIF('Visão geral'!$C$5:$C$1000,B125,'Visão geral'!$G$5:$G$1000))</f>
        <v/>
      </c>
      <c r="D125" s="83"/>
      <c r="E125" s="83"/>
      <c r="F125" s="83"/>
      <c r="H125" s="83"/>
      <c r="I125" s="88"/>
      <c r="J125" s="83"/>
      <c r="K125" s="83"/>
    </row>
    <row r="126" spans="2:11" s="87" customFormat="1" ht="20" customHeight="1" x14ac:dyDescent="0.3">
      <c r="B126" s="88" t="str">
        <f t="array" ref="B126">IFERROR(
  INDEX('Visão geral'!$C$5:$C$1000,
         MATCH(0,
                 IF('Visão geral'!$C$5:$C$1000&lt;&gt;"",
                    COUNTIF($B$4:B125,'Visão geral'!$C$5:$C$1000),
                 ""),
         0)
  ),
"")</f>
        <v/>
      </c>
      <c r="C126" s="93" t="str">
        <f>IF(B126="","",SUMIF('Visão geral'!$C$5:$C$1000,B126,'Visão geral'!$G$5:$G$1000))</f>
        <v/>
      </c>
      <c r="D126" s="83"/>
      <c r="E126" s="83"/>
      <c r="F126" s="83"/>
      <c r="H126" s="83"/>
      <c r="I126" s="88"/>
      <c r="J126" s="83"/>
      <c r="K126" s="83"/>
    </row>
    <row r="127" spans="2:11" s="87" customFormat="1" ht="20" customHeight="1" x14ac:dyDescent="0.3">
      <c r="B127" s="91" t="str">
        <f t="array" ref="B127">IFERROR(
  INDEX('Visão geral'!$C$5:$C$1000,
         MATCH(0,
                 IF('Visão geral'!$C$5:$C$1000&lt;&gt;"",
                    COUNTIF($B$4:B126,'Visão geral'!$C$5:$C$1000),
                 ""),
         0)
  ),
"")</f>
        <v/>
      </c>
      <c r="C127" s="93" t="str">
        <f>IF(B127="","",SUMIF('Visão geral'!$C$5:$C$1000,B127,'Visão geral'!$G$5:$G$1000))</f>
        <v/>
      </c>
      <c r="D127" s="83"/>
      <c r="E127" s="83"/>
      <c r="F127" s="83"/>
      <c r="H127" s="83"/>
      <c r="I127" s="88"/>
      <c r="J127" s="83"/>
      <c r="K127" s="83"/>
    </row>
    <row r="128" spans="2:11" s="87" customFormat="1" ht="20" customHeight="1" x14ac:dyDescent="0.3">
      <c r="B128" s="88" t="str">
        <f t="array" ref="B128">IFERROR(
  INDEX('Visão geral'!$C$5:$C$1000,
         MATCH(0,
                 IF('Visão geral'!$C$5:$C$1000&lt;&gt;"",
                    COUNTIF($B$4:B127,'Visão geral'!$C$5:$C$1000),
                 ""),
         0)
  ),
"")</f>
        <v/>
      </c>
      <c r="C128" s="93" t="str">
        <f>IF(B128="","",SUMIF('Visão geral'!$C$5:$C$1000,B128,'Visão geral'!$G$5:$G$1000))</f>
        <v/>
      </c>
      <c r="D128" s="83"/>
      <c r="E128" s="83"/>
      <c r="F128" s="83"/>
      <c r="H128" s="83"/>
      <c r="I128" s="88"/>
      <c r="J128" s="83"/>
      <c r="K128" s="83"/>
    </row>
    <row r="129" spans="2:11" s="87" customFormat="1" ht="20" customHeight="1" x14ac:dyDescent="0.3">
      <c r="B129" s="88" t="str">
        <f t="array" ref="B129">IFERROR(
  INDEX('Visão geral'!$C$5:$C$1000,
         MATCH(0,
                 IF('Visão geral'!$C$5:$C$1000&lt;&gt;"",
                    COUNTIF($B$4:B128,'Visão geral'!$C$5:$C$1000),
                 ""),
         0)
  ),
"")</f>
        <v/>
      </c>
      <c r="C129" s="93" t="str">
        <f>IF(B129="","",SUMIF('Visão geral'!$C$5:$C$1000,B129,'Visão geral'!$G$5:$G$1000))</f>
        <v/>
      </c>
      <c r="D129" s="83"/>
      <c r="E129" s="83"/>
      <c r="F129" s="83"/>
      <c r="H129" s="83"/>
      <c r="I129" s="88"/>
      <c r="J129" s="83"/>
      <c r="K129" s="83"/>
    </row>
    <row r="130" spans="2:11" s="87" customFormat="1" ht="20" customHeight="1" x14ac:dyDescent="0.3">
      <c r="B130" s="90" t="str">
        <f t="array" ref="B130">IFERROR(
  INDEX('Visão geral'!$C$5:$C$1000,
         MATCH(0,
                 IF('Visão geral'!$C$5:$C$1000&lt;&gt;"",
                    COUNTIF($B$4:B129,'Visão geral'!$C$5:$C$1000),
                 ""),
         0)
  ),
"")</f>
        <v/>
      </c>
      <c r="C130" s="93" t="str">
        <f>IF(B130="","",SUMIF('Visão geral'!$C$5:$C$1000,B130,'Visão geral'!$G$5:$G$1000))</f>
        <v/>
      </c>
      <c r="D130" s="83"/>
      <c r="E130" s="83"/>
      <c r="F130" s="83"/>
      <c r="H130" s="83"/>
      <c r="I130" s="88"/>
      <c r="J130" s="83"/>
      <c r="K130" s="83"/>
    </row>
    <row r="131" spans="2:11" s="87" customFormat="1" ht="20" customHeight="1" x14ac:dyDescent="0.3">
      <c r="B131" s="88" t="str">
        <f t="array" ref="B131">IFERROR(
  INDEX('Visão geral'!$C$5:$C$1000,
         MATCH(0,
                 IF('Visão geral'!$C$5:$C$1000&lt;&gt;"",
                    COUNTIF($B$4:B130,'Visão geral'!$C$5:$C$1000),
                 ""),
         0)
  ),
"")</f>
        <v/>
      </c>
      <c r="C131" s="93" t="str">
        <f>IF(B131="","",SUMIF('Visão geral'!$C$5:$C$1000,B131,'Visão geral'!$G$5:$G$1000))</f>
        <v/>
      </c>
      <c r="D131" s="83"/>
      <c r="E131" s="83"/>
      <c r="F131" s="83"/>
      <c r="H131" s="83"/>
      <c r="I131" s="88"/>
      <c r="J131" s="83"/>
      <c r="K131" s="83"/>
    </row>
    <row r="132" spans="2:11" s="87" customFormat="1" ht="20" customHeight="1" x14ac:dyDescent="0.3">
      <c r="B132" s="88" t="str">
        <f t="array" ref="B132">IFERROR(
  INDEX('Visão geral'!$C$5:$C$1000,
         MATCH(0,
                 IF('Visão geral'!$C$5:$C$1000&lt;&gt;"",
                    COUNTIF($B$4:B131,'Visão geral'!$C$5:$C$1000),
                 ""),
         0)
  ),
"")</f>
        <v/>
      </c>
      <c r="C132" s="93" t="str">
        <f>IF(B132="","",SUMIF('Visão geral'!$C$5:$C$1000,B132,'Visão geral'!$G$5:$G$1000))</f>
        <v/>
      </c>
      <c r="D132" s="83"/>
      <c r="E132" s="83"/>
      <c r="F132" s="83"/>
      <c r="H132" s="83"/>
      <c r="I132" s="88"/>
      <c r="J132" s="83"/>
      <c r="K132" s="83"/>
    </row>
    <row r="133" spans="2:11" s="87" customFormat="1" ht="20" customHeight="1" x14ac:dyDescent="0.3">
      <c r="B133" s="91" t="str">
        <f t="array" ref="B133">IFERROR(
  INDEX('Visão geral'!$C$5:$C$1000,
         MATCH(0,
                 IF('Visão geral'!$C$5:$C$1000&lt;&gt;"",
                    COUNTIF($B$4:B132,'Visão geral'!$C$5:$C$1000),
                 ""),
         0)
  ),
"")</f>
        <v/>
      </c>
      <c r="C133" s="93" t="str">
        <f>IF(B133="","",SUMIF('Visão geral'!$C$5:$C$1000,B133,'Visão geral'!$G$5:$G$1000))</f>
        <v/>
      </c>
      <c r="D133" s="83"/>
      <c r="E133" s="83"/>
      <c r="F133" s="83"/>
      <c r="H133" s="83"/>
      <c r="I133" s="88"/>
      <c r="J133" s="83"/>
      <c r="K133" s="83"/>
    </row>
    <row r="134" spans="2:11" s="87" customFormat="1" ht="20" customHeight="1" x14ac:dyDescent="0.3">
      <c r="B134" s="88" t="str">
        <f t="array" ref="B134">IFERROR(
  INDEX('Visão geral'!$C$5:$C$1000,
         MATCH(0,
                 IF('Visão geral'!$C$5:$C$1000&lt;&gt;"",
                    COUNTIF($B$4:B133,'Visão geral'!$C$5:$C$1000),
                 ""),
         0)
  ),
"")</f>
        <v/>
      </c>
      <c r="C134" s="93" t="str">
        <f>IF(B134="","",SUMIF('Visão geral'!$C$5:$C$1000,B134,'Visão geral'!$G$5:$G$1000))</f>
        <v/>
      </c>
      <c r="D134" s="83"/>
      <c r="E134" s="83"/>
      <c r="F134" s="83"/>
      <c r="H134" s="83"/>
      <c r="I134" s="88"/>
      <c r="J134" s="83"/>
      <c r="K134" s="83"/>
    </row>
    <row r="135" spans="2:11" s="87" customFormat="1" ht="20" customHeight="1" x14ac:dyDescent="0.3">
      <c r="B135" s="88" t="str">
        <f t="array" ref="B135">IFERROR(
  INDEX('Visão geral'!$C$5:$C$1000,
         MATCH(0,
                 IF('Visão geral'!$C$5:$C$1000&lt;&gt;"",
                    COUNTIF($B$4:B134,'Visão geral'!$C$5:$C$1000),
                 ""),
         0)
  ),
"")</f>
        <v/>
      </c>
      <c r="C135" s="93" t="str">
        <f>IF(B135="","",SUMIF('Visão geral'!$C$5:$C$1000,B135,'Visão geral'!$G$5:$G$1000))</f>
        <v/>
      </c>
      <c r="D135" s="83"/>
      <c r="E135" s="83"/>
      <c r="F135" s="83"/>
      <c r="H135" s="83"/>
      <c r="I135" s="88"/>
      <c r="J135" s="83"/>
      <c r="K135" s="83"/>
    </row>
    <row r="136" spans="2:11" s="87" customFormat="1" ht="20" customHeight="1" x14ac:dyDescent="0.3">
      <c r="B136" s="90" t="str">
        <f t="array" ref="B136">IFERROR(
  INDEX('Visão geral'!$C$5:$C$1000,
         MATCH(0,
                 IF('Visão geral'!$C$5:$C$1000&lt;&gt;"",
                    COUNTIF($B$4:B135,'Visão geral'!$C$5:$C$1000),
                 ""),
         0)
  ),
"")</f>
        <v/>
      </c>
      <c r="C136" s="93" t="str">
        <f>IF(B136="","",SUMIF('Visão geral'!$C$5:$C$1000,B136,'Visão geral'!$G$5:$G$1000))</f>
        <v/>
      </c>
      <c r="D136" s="83"/>
      <c r="E136" s="83"/>
      <c r="F136" s="83"/>
      <c r="H136" s="83"/>
      <c r="I136" s="88"/>
      <c r="J136" s="83"/>
      <c r="K136" s="83"/>
    </row>
    <row r="137" spans="2:11" s="87" customFormat="1" ht="20" customHeight="1" x14ac:dyDescent="0.3">
      <c r="B137" s="88" t="str">
        <f t="array" ref="B137">IFERROR(
  INDEX('Visão geral'!$C$5:$C$1000,
         MATCH(0,
                 IF('Visão geral'!$C$5:$C$1000&lt;&gt;"",
                    COUNTIF($B$4:B136,'Visão geral'!$C$5:$C$1000),
                 ""),
         0)
  ),
"")</f>
        <v/>
      </c>
      <c r="C137" s="93" t="str">
        <f>IF(B137="","",SUMIF('Visão geral'!$C$5:$C$1000,B137,'Visão geral'!$G$5:$G$1000))</f>
        <v/>
      </c>
      <c r="D137" s="83"/>
      <c r="E137" s="83"/>
      <c r="F137" s="83"/>
      <c r="H137" s="83"/>
      <c r="I137" s="88"/>
      <c r="J137" s="83"/>
      <c r="K137" s="83"/>
    </row>
    <row r="138" spans="2:11" s="87" customFormat="1" ht="20" customHeight="1" x14ac:dyDescent="0.3">
      <c r="B138" s="88" t="str">
        <f t="array" ref="B138">IFERROR(
  INDEX('Visão geral'!$C$5:$C$1000,
         MATCH(0,
                 IF('Visão geral'!$C$5:$C$1000&lt;&gt;"",
                    COUNTIF($B$4:B137,'Visão geral'!$C$5:$C$1000),
                 ""),
         0)
  ),
"")</f>
        <v/>
      </c>
      <c r="C138" s="93" t="str">
        <f>IF(B138="","",SUMIF('Visão geral'!$C$5:$C$1000,B138,'Visão geral'!$G$5:$G$1000))</f>
        <v/>
      </c>
      <c r="D138" s="83"/>
      <c r="E138" s="83"/>
      <c r="F138" s="83"/>
      <c r="H138" s="83"/>
      <c r="I138" s="88"/>
      <c r="J138" s="83"/>
      <c r="K138" s="83"/>
    </row>
    <row r="139" spans="2:11" s="87" customFormat="1" ht="20" customHeight="1" x14ac:dyDescent="0.3">
      <c r="B139" s="91" t="str">
        <f t="array" ref="B139">IFERROR(
  INDEX('Visão geral'!$C$5:$C$1000,
         MATCH(0,
                 IF('Visão geral'!$C$5:$C$1000&lt;&gt;"",
                    COUNTIF($B$4:B138,'Visão geral'!$C$5:$C$1000),
                 ""),
         0)
  ),
"")</f>
        <v/>
      </c>
      <c r="C139" s="93" t="str">
        <f>IF(B139="","",SUMIF('Visão geral'!$C$5:$C$1000,B139,'Visão geral'!$G$5:$G$1000))</f>
        <v/>
      </c>
      <c r="D139" s="83"/>
      <c r="E139" s="83"/>
      <c r="F139" s="83"/>
      <c r="H139" s="83"/>
      <c r="I139" s="88"/>
      <c r="J139" s="83"/>
      <c r="K139" s="83"/>
    </row>
    <row r="140" spans="2:11" s="87" customFormat="1" ht="20" customHeight="1" x14ac:dyDescent="0.3">
      <c r="B140" s="88" t="str">
        <f t="array" ref="B140">IFERROR(
  INDEX('Visão geral'!$C$5:$C$1000,
         MATCH(0,
                 IF('Visão geral'!$C$5:$C$1000&lt;&gt;"",
                    COUNTIF($B$4:B139,'Visão geral'!$C$5:$C$1000),
                 ""),
         0)
  ),
"")</f>
        <v/>
      </c>
      <c r="C140" s="93" t="str">
        <f>IF(B140="","",SUMIF('Visão geral'!$C$5:$C$1000,B140,'Visão geral'!$G$5:$G$1000))</f>
        <v/>
      </c>
      <c r="D140" s="83"/>
      <c r="E140" s="83"/>
      <c r="F140" s="83"/>
      <c r="H140" s="83"/>
      <c r="I140" s="88"/>
      <c r="J140" s="83"/>
      <c r="K140" s="83"/>
    </row>
    <row r="141" spans="2:11" s="87" customFormat="1" ht="20" customHeight="1" x14ac:dyDescent="0.3">
      <c r="B141" s="88" t="str">
        <f t="array" ref="B141">IFERROR(
  INDEX('Visão geral'!$C$5:$C$1000,
         MATCH(0,
                 IF('Visão geral'!$C$5:$C$1000&lt;&gt;"",
                    COUNTIF($B$4:B140,'Visão geral'!$C$5:$C$1000),
                 ""),
         0)
  ),
"")</f>
        <v/>
      </c>
      <c r="C141" s="93" t="str">
        <f>IF(B141="","",SUMIF('Visão geral'!$C$5:$C$1000,B141,'Visão geral'!$G$5:$G$1000))</f>
        <v/>
      </c>
      <c r="D141" s="83"/>
      <c r="E141" s="83"/>
      <c r="F141" s="83"/>
      <c r="H141" s="83"/>
      <c r="I141" s="88"/>
      <c r="J141" s="83"/>
      <c r="K141" s="83"/>
    </row>
    <row r="142" spans="2:11" s="87" customFormat="1" ht="20" customHeight="1" x14ac:dyDescent="0.3">
      <c r="B142" s="90" t="str">
        <f t="array" ref="B142">IFERROR(
  INDEX('Visão geral'!$C$5:$C$1000,
         MATCH(0,
                 IF('Visão geral'!$C$5:$C$1000&lt;&gt;"",
                    COUNTIF($B$4:B141,'Visão geral'!$C$5:$C$1000),
                 ""),
         0)
  ),
"")</f>
        <v/>
      </c>
      <c r="C142" s="93" t="str">
        <f>IF(B142="","",SUMIF('Visão geral'!$C$5:$C$1000,B142,'Visão geral'!$G$5:$G$1000))</f>
        <v/>
      </c>
      <c r="D142" s="83"/>
      <c r="E142" s="83"/>
      <c r="F142" s="83"/>
      <c r="H142" s="83"/>
      <c r="I142" s="88"/>
      <c r="J142" s="83"/>
      <c r="K142" s="83"/>
    </row>
    <row r="143" spans="2:11" s="87" customFormat="1" ht="20" customHeight="1" x14ac:dyDescent="0.3">
      <c r="B143" s="88" t="str">
        <f t="array" ref="B143">IFERROR(
  INDEX('Visão geral'!$C$5:$C$1000,
         MATCH(0,
                 IF('Visão geral'!$C$5:$C$1000&lt;&gt;"",
                    COUNTIF($B$4:B142,'Visão geral'!$C$5:$C$1000),
                 ""),
         0)
  ),
"")</f>
        <v/>
      </c>
      <c r="C143" s="93" t="str">
        <f>IF(B143="","",SUMIF('Visão geral'!$C$5:$C$1000,B143,'Visão geral'!$G$5:$G$1000))</f>
        <v/>
      </c>
      <c r="D143" s="83"/>
      <c r="E143" s="83"/>
      <c r="F143" s="83"/>
      <c r="H143" s="83"/>
      <c r="I143" s="88"/>
      <c r="J143" s="83"/>
      <c r="K143" s="83"/>
    </row>
    <row r="144" spans="2:11" s="87" customFormat="1" ht="20" customHeight="1" x14ac:dyDescent="0.3">
      <c r="B144" s="88" t="str">
        <f t="array" ref="B144">IFERROR(
  INDEX('Visão geral'!$C$5:$C$1000,
         MATCH(0,
                 IF('Visão geral'!$C$5:$C$1000&lt;&gt;"",
                    COUNTIF($B$4:B143,'Visão geral'!$C$5:$C$1000),
                 ""),
         0)
  ),
"")</f>
        <v/>
      </c>
      <c r="C144" s="93" t="str">
        <f>IF(B144="","",SUMIF('Visão geral'!$C$5:$C$1000,B144,'Visão geral'!$G$5:$G$1000))</f>
        <v/>
      </c>
      <c r="D144" s="83"/>
      <c r="E144" s="83"/>
      <c r="F144" s="83"/>
      <c r="H144" s="83"/>
      <c r="I144" s="88"/>
      <c r="J144" s="83"/>
      <c r="K144" s="83"/>
    </row>
    <row r="145" spans="2:11" s="87" customFormat="1" ht="20" customHeight="1" x14ac:dyDescent="0.3">
      <c r="B145" s="91" t="str">
        <f t="array" ref="B145">IFERROR(
  INDEX('Visão geral'!$C$5:$C$1000,
         MATCH(0,
                 IF('Visão geral'!$C$5:$C$1000&lt;&gt;"",
                    COUNTIF($B$4:B144,'Visão geral'!$C$5:$C$1000),
                 ""),
         0)
  ),
"")</f>
        <v/>
      </c>
      <c r="C145" s="93" t="str">
        <f>IF(B145="","",SUMIF('Visão geral'!$C$5:$C$1000,B145,'Visão geral'!$G$5:$G$1000))</f>
        <v/>
      </c>
      <c r="D145" s="83"/>
      <c r="E145" s="83"/>
      <c r="F145" s="83"/>
      <c r="H145" s="83"/>
      <c r="I145" s="88"/>
      <c r="J145" s="83"/>
      <c r="K145" s="83"/>
    </row>
    <row r="146" spans="2:11" s="87" customFormat="1" ht="20" customHeight="1" x14ac:dyDescent="0.3">
      <c r="B146" s="88" t="str">
        <f t="array" ref="B146">IFERROR(
  INDEX('Visão geral'!$C$5:$C$1000,
         MATCH(0,
                 IF('Visão geral'!$C$5:$C$1000&lt;&gt;"",
                    COUNTIF($B$4:B145,'Visão geral'!$C$5:$C$1000),
                 ""),
         0)
  ),
"")</f>
        <v/>
      </c>
      <c r="C146" s="93" t="str">
        <f>IF(B146="","",SUMIF('Visão geral'!$C$5:$C$1000,B146,'Visão geral'!$G$5:$G$1000))</f>
        <v/>
      </c>
      <c r="D146" s="83"/>
      <c r="E146" s="83"/>
      <c r="F146" s="83"/>
      <c r="H146" s="83"/>
      <c r="I146" s="88"/>
      <c r="J146" s="83"/>
      <c r="K146" s="83"/>
    </row>
    <row r="147" spans="2:11" s="87" customFormat="1" ht="20" customHeight="1" x14ac:dyDescent="0.3">
      <c r="B147" s="88" t="str">
        <f t="array" ref="B147">IFERROR(
  INDEX('Visão geral'!$C$5:$C$1000,
         MATCH(0,
                 IF('Visão geral'!$C$5:$C$1000&lt;&gt;"",
                    COUNTIF($B$4:B146,'Visão geral'!$C$5:$C$1000),
                 ""),
         0)
  ),
"")</f>
        <v/>
      </c>
      <c r="C147" s="93" t="str">
        <f>IF(B147="","",SUMIF('Visão geral'!$C$5:$C$1000,B147,'Visão geral'!$G$5:$G$1000))</f>
        <v/>
      </c>
      <c r="D147" s="83"/>
      <c r="E147" s="83"/>
      <c r="F147" s="83"/>
      <c r="H147" s="83"/>
      <c r="I147" s="88"/>
      <c r="J147" s="83"/>
      <c r="K147" s="83"/>
    </row>
    <row r="148" spans="2:11" s="87" customFormat="1" ht="20" customHeight="1" x14ac:dyDescent="0.3">
      <c r="B148" s="90" t="str">
        <f t="array" ref="B148">IFERROR(
  INDEX('Visão geral'!$C$5:$C$1000,
         MATCH(0,
                 IF('Visão geral'!$C$5:$C$1000&lt;&gt;"",
                    COUNTIF($B$4:B147,'Visão geral'!$C$5:$C$1000),
                 ""),
         0)
  ),
"")</f>
        <v/>
      </c>
      <c r="C148" s="93" t="str">
        <f>IF(B148="","",SUMIF('Visão geral'!$C$5:$C$1000,B148,'Visão geral'!$G$5:$G$1000))</f>
        <v/>
      </c>
      <c r="D148" s="83"/>
      <c r="E148" s="83"/>
      <c r="F148" s="83"/>
      <c r="H148" s="83"/>
      <c r="I148" s="88"/>
      <c r="J148" s="83"/>
      <c r="K148" s="83"/>
    </row>
    <row r="149" spans="2:11" s="87" customFormat="1" ht="20" customHeight="1" x14ac:dyDescent="0.3">
      <c r="B149" s="88" t="str">
        <f t="array" ref="B149">IFERROR(
  INDEX('Visão geral'!$C$5:$C$1000,
         MATCH(0,
                 IF('Visão geral'!$C$5:$C$1000&lt;&gt;"",
                    COUNTIF($B$4:B148,'Visão geral'!$C$5:$C$1000),
                 ""),
         0)
  ),
"")</f>
        <v/>
      </c>
      <c r="C149" s="93" t="str">
        <f>IF(B149="","",SUMIF('Visão geral'!$C$5:$C$1000,B149,'Visão geral'!$G$5:$G$1000))</f>
        <v/>
      </c>
      <c r="D149" s="83"/>
      <c r="E149" s="83"/>
      <c r="F149" s="83"/>
      <c r="H149" s="83"/>
      <c r="I149" s="88"/>
      <c r="J149" s="83"/>
      <c r="K149" s="83"/>
    </row>
    <row r="150" spans="2:11" s="87" customFormat="1" ht="20" customHeight="1" x14ac:dyDescent="0.3">
      <c r="B150" s="88" t="str">
        <f t="array" ref="B150">IFERROR(
  INDEX('Visão geral'!$C$5:$C$1000,
         MATCH(0,
                 IF('Visão geral'!$C$5:$C$1000&lt;&gt;"",
                    COUNTIF($B$4:B149,'Visão geral'!$C$5:$C$1000),
                 ""),
         0)
  ),
"")</f>
        <v/>
      </c>
      <c r="C150" s="93" t="str">
        <f>IF(B150="","",SUMIF('Visão geral'!$C$5:$C$1000,B150,'Visão geral'!$G$5:$G$1000))</f>
        <v/>
      </c>
      <c r="D150" s="83"/>
      <c r="E150" s="83"/>
      <c r="F150" s="83"/>
      <c r="H150" s="83"/>
      <c r="I150" s="88"/>
      <c r="J150" s="83"/>
      <c r="K150" s="83"/>
    </row>
    <row r="151" spans="2:11" s="87" customFormat="1" ht="20" customHeight="1" x14ac:dyDescent="0.3">
      <c r="B151" s="91" t="str">
        <f t="array" ref="B151">IFERROR(
  INDEX('Visão geral'!$C$5:$C$1000,
         MATCH(0,
                 IF('Visão geral'!$C$5:$C$1000&lt;&gt;"",
                    COUNTIF($B$4:B150,'Visão geral'!$C$5:$C$1000),
                 ""),
         0)
  ),
"")</f>
        <v/>
      </c>
      <c r="C151" s="93" t="str">
        <f>IF(B151="","",SUMIF('Visão geral'!$C$5:$C$1000,B151,'Visão geral'!$G$5:$G$1000))</f>
        <v/>
      </c>
      <c r="D151" s="83"/>
      <c r="E151" s="83"/>
      <c r="F151" s="83"/>
      <c r="H151" s="83"/>
      <c r="I151" s="88"/>
      <c r="J151" s="83"/>
      <c r="K151" s="83"/>
    </row>
    <row r="152" spans="2:11" s="87" customFormat="1" ht="20" customHeight="1" x14ac:dyDescent="0.3">
      <c r="B152" s="88" t="str">
        <f t="array" ref="B152">IFERROR(
  INDEX('Visão geral'!$C$5:$C$1000,
         MATCH(0,
                 IF('Visão geral'!$C$5:$C$1000&lt;&gt;"",
                    COUNTIF($B$4:B151,'Visão geral'!$C$5:$C$1000),
                 ""),
         0)
  ),
"")</f>
        <v/>
      </c>
      <c r="C152" s="93" t="str">
        <f>IF(B152="","",SUMIF('Visão geral'!$C$5:$C$1000,B152,'Visão geral'!$G$5:$G$1000))</f>
        <v/>
      </c>
      <c r="D152" s="83"/>
      <c r="E152" s="83"/>
      <c r="F152" s="83"/>
      <c r="H152" s="83"/>
      <c r="I152" s="88"/>
      <c r="J152" s="83"/>
      <c r="K152" s="83"/>
    </row>
    <row r="153" spans="2:11" s="87" customFormat="1" ht="20" customHeight="1" x14ac:dyDescent="0.3">
      <c r="B153" s="88" t="str">
        <f t="array" ref="B153">IFERROR(
  INDEX('Visão geral'!$C$5:$C$1000,
         MATCH(0,
                 IF('Visão geral'!$C$5:$C$1000&lt;&gt;"",
                    COUNTIF($B$4:B152,'Visão geral'!$C$5:$C$1000),
                 ""),
         0)
  ),
"")</f>
        <v/>
      </c>
      <c r="C153" s="93" t="str">
        <f>IF(B153="","",SUMIF('Visão geral'!$C$5:$C$1000,B153,'Visão geral'!$G$5:$G$1000))</f>
        <v/>
      </c>
      <c r="D153" s="83"/>
      <c r="E153" s="83"/>
      <c r="F153" s="83"/>
      <c r="H153" s="83"/>
      <c r="I153" s="88"/>
      <c r="J153" s="83"/>
      <c r="K153" s="83"/>
    </row>
    <row r="154" spans="2:11" s="87" customFormat="1" ht="20" customHeight="1" x14ac:dyDescent="0.3">
      <c r="B154" s="90" t="str">
        <f t="array" ref="B154">IFERROR(
  INDEX('Visão geral'!$C$5:$C$1000,
         MATCH(0,
                 IF('Visão geral'!$C$5:$C$1000&lt;&gt;"",
                    COUNTIF($B$4:B153,'Visão geral'!$C$5:$C$1000),
                 ""),
         0)
  ),
"")</f>
        <v/>
      </c>
      <c r="C154" s="93" t="str">
        <f>IF(B154="","",SUMIF('Visão geral'!$C$5:$C$1000,B154,'Visão geral'!$G$5:$G$1000))</f>
        <v/>
      </c>
      <c r="D154" s="83"/>
      <c r="E154" s="83"/>
      <c r="F154" s="83"/>
      <c r="H154" s="83"/>
      <c r="I154" s="88"/>
      <c r="J154" s="83"/>
      <c r="K154" s="83"/>
    </row>
    <row r="155" spans="2:11" s="87" customFormat="1" ht="20" customHeight="1" x14ac:dyDescent="0.3">
      <c r="B155" s="88" t="str">
        <f t="array" ref="B155">IFERROR(
  INDEX('Visão geral'!$C$5:$C$1000,
         MATCH(0,
                 IF('Visão geral'!$C$5:$C$1000&lt;&gt;"",
                    COUNTIF($B$4:B154,'Visão geral'!$C$5:$C$1000),
                 ""),
         0)
  ),
"")</f>
        <v/>
      </c>
      <c r="C155" s="93" t="str">
        <f>IF(B155="","",SUMIF('Visão geral'!$C$5:$C$1000,B155,'Visão geral'!$G$5:$G$1000))</f>
        <v/>
      </c>
      <c r="D155" s="83"/>
      <c r="E155" s="83"/>
      <c r="F155" s="83"/>
      <c r="H155" s="83"/>
      <c r="I155" s="88"/>
      <c r="J155" s="83"/>
      <c r="K155" s="83"/>
    </row>
    <row r="156" spans="2:11" s="87" customFormat="1" ht="20" customHeight="1" x14ac:dyDescent="0.3">
      <c r="B156" s="90" t="str">
        <f t="array" ref="B156">IFERROR(
  INDEX('Visão geral'!$C$5:$C$1000,
         MATCH(0,
                 IF('Visão geral'!$C$5:$C$1000&lt;&gt;"",
                    COUNTIF($B$4:B155,'Visão geral'!$C$5:$C$1000),
                 ""),
         0)
  ),
"")</f>
        <v/>
      </c>
      <c r="C156" s="93" t="str">
        <f>IF(B156="","",SUMIF('Visão geral'!$C$5:$C$1000,B156,'Visão geral'!$G$5:$G$1000))</f>
        <v/>
      </c>
      <c r="D156" s="83"/>
      <c r="E156" s="83"/>
      <c r="F156" s="83"/>
      <c r="H156" s="83"/>
      <c r="I156" s="88"/>
      <c r="J156" s="83"/>
      <c r="K156" s="83"/>
    </row>
    <row r="157" spans="2:11" s="87" customFormat="1" ht="20" customHeight="1" x14ac:dyDescent="0.3">
      <c r="B157" s="88" t="str">
        <f t="array" ref="B157">IFERROR(
  INDEX('Visão geral'!$C$5:$C$1000,
         MATCH(0,
                 IF('Visão geral'!$C$5:$C$1000&lt;&gt;"",
                    COUNTIF($B$4:B156,'Visão geral'!$C$5:$C$1000),
                 ""),
         0)
  ),
"")</f>
        <v/>
      </c>
      <c r="C157" s="93" t="str">
        <f>IF(B157="","",SUMIF('Visão geral'!$C$5:$C$1000,B157,'Visão geral'!$G$5:$G$1000))</f>
        <v/>
      </c>
      <c r="D157" s="83"/>
      <c r="E157" s="83"/>
      <c r="F157" s="83"/>
      <c r="H157" s="83"/>
      <c r="I157" s="88"/>
      <c r="J157" s="83"/>
      <c r="K157" s="83"/>
    </row>
    <row r="158" spans="2:11" s="87" customFormat="1" ht="20" customHeight="1" x14ac:dyDescent="0.3">
      <c r="B158" s="88" t="str">
        <f t="array" ref="B158">IFERROR(
  INDEX('Visão geral'!$C$5:$C$1000,
         MATCH(0,
                 IF('Visão geral'!$C$5:$C$1000&lt;&gt;"",
                    COUNTIF($B$4:B157,'Visão geral'!$C$5:$C$1000),
                 ""),
         0)
  ),
"")</f>
        <v/>
      </c>
      <c r="C158" s="93" t="str">
        <f>IF(B158="","",SUMIF('Visão geral'!$C$5:$C$1000,B158,'Visão geral'!$G$5:$G$1000))</f>
        <v/>
      </c>
      <c r="D158" s="83"/>
      <c r="E158" s="83"/>
      <c r="F158" s="83"/>
      <c r="H158" s="83"/>
      <c r="I158" s="88"/>
      <c r="J158" s="83"/>
      <c r="K158" s="83"/>
    </row>
    <row r="159" spans="2:11" s="87" customFormat="1" ht="20" customHeight="1" x14ac:dyDescent="0.3">
      <c r="B159" s="91" t="str">
        <f t="array" ref="B159">IFERROR(
  INDEX('Visão geral'!$C$5:$C$1000,
         MATCH(0,
                 IF('Visão geral'!$C$5:$C$1000&lt;&gt;"",
                    COUNTIF($B$4:B158,'Visão geral'!$C$5:$C$1000),
                 ""),
         0)
  ),
"")</f>
        <v/>
      </c>
      <c r="C159" s="93" t="str">
        <f>IF(B159="","",SUMIF('Visão geral'!$C$5:$C$1000,B159,'Visão geral'!$G$5:$G$1000))</f>
        <v/>
      </c>
      <c r="D159" s="83"/>
      <c r="E159" s="83"/>
      <c r="F159" s="83"/>
      <c r="H159" s="83"/>
      <c r="I159" s="88"/>
      <c r="J159" s="83"/>
      <c r="K159" s="83"/>
    </row>
    <row r="160" spans="2:11" s="87" customFormat="1" ht="20" customHeight="1" x14ac:dyDescent="0.3">
      <c r="B160" s="88" t="str">
        <f t="array" ref="B160">IFERROR(
  INDEX('Visão geral'!$C$5:$C$1000,
         MATCH(0,
                 IF('Visão geral'!$C$5:$C$1000&lt;&gt;"",
                    COUNTIF($B$4:B159,'Visão geral'!$C$5:$C$1000),
                 ""),
         0)
  ),
"")</f>
        <v/>
      </c>
      <c r="C160" s="93" t="str">
        <f>IF(B160="","",SUMIF('Visão geral'!$C$5:$C$1000,B160,'Visão geral'!$G$5:$G$1000))</f>
        <v/>
      </c>
      <c r="D160" s="83"/>
      <c r="E160" s="83"/>
      <c r="F160" s="83"/>
      <c r="H160" s="83"/>
      <c r="I160" s="88"/>
      <c r="J160" s="83"/>
      <c r="K160" s="83"/>
    </row>
    <row r="161" spans="2:11" s="87" customFormat="1" ht="20" customHeight="1" x14ac:dyDescent="0.3">
      <c r="B161" s="88" t="str">
        <f t="array" ref="B161">IFERROR(
  INDEX('Visão geral'!$C$5:$C$1000,
         MATCH(0,
                 IF('Visão geral'!$C$5:$C$1000&lt;&gt;"",
                    COUNTIF($B$4:B160,'Visão geral'!$C$5:$C$1000),
                 ""),
         0)
  ),
"")</f>
        <v/>
      </c>
      <c r="C161" s="93" t="str">
        <f>IF(B161="","",SUMIF('Visão geral'!$C$5:$C$1000,B161,'Visão geral'!$G$5:$G$1000))</f>
        <v/>
      </c>
      <c r="D161" s="83"/>
      <c r="E161" s="83"/>
      <c r="F161" s="83"/>
      <c r="H161" s="83"/>
      <c r="I161" s="88"/>
      <c r="J161" s="83"/>
      <c r="K161" s="83"/>
    </row>
    <row r="162" spans="2:11" s="87" customFormat="1" ht="20" customHeight="1" x14ac:dyDescent="0.3">
      <c r="B162" s="90" t="str">
        <f t="array" ref="B162">IFERROR(
  INDEX('Visão geral'!$C$5:$C$1000,
         MATCH(0,
                 IF('Visão geral'!$C$5:$C$1000&lt;&gt;"",
                    COUNTIF($B$4:B161,'Visão geral'!$C$5:$C$1000),
                 ""),
         0)
  ),
"")</f>
        <v/>
      </c>
      <c r="C162" s="93" t="str">
        <f>IF(B162="","",SUMIF('Visão geral'!$C$5:$C$1000,B162,'Visão geral'!$G$5:$G$1000))</f>
        <v/>
      </c>
      <c r="D162" s="83"/>
      <c r="E162" s="83"/>
      <c r="F162" s="83"/>
      <c r="H162" s="83"/>
      <c r="I162" s="88"/>
      <c r="J162" s="83"/>
      <c r="K162" s="83"/>
    </row>
    <row r="163" spans="2:11" s="87" customFormat="1" ht="20" customHeight="1" x14ac:dyDescent="0.3">
      <c r="B163" s="88" t="str">
        <f t="array" ref="B163">IFERROR(
  INDEX('Visão geral'!$C$5:$C$1000,
         MATCH(0,
                 IF('Visão geral'!$C$5:$C$1000&lt;&gt;"",
                    COUNTIF($B$4:B162,'Visão geral'!$C$5:$C$1000),
                 ""),
         0)
  ),
"")</f>
        <v/>
      </c>
      <c r="C163" s="93" t="str">
        <f>IF(B163="","",SUMIF('Visão geral'!$C$5:$C$1000,B163,'Visão geral'!$G$5:$G$1000))</f>
        <v/>
      </c>
      <c r="D163" s="83"/>
      <c r="E163" s="83"/>
      <c r="F163" s="83"/>
      <c r="H163" s="83"/>
      <c r="I163" s="88"/>
      <c r="J163" s="83"/>
      <c r="K163" s="83"/>
    </row>
    <row r="164" spans="2:11" s="87" customFormat="1" ht="20" customHeight="1" x14ac:dyDescent="0.3">
      <c r="B164" s="88" t="str">
        <f t="array" ref="B164">IFERROR(
  INDEX('Visão geral'!$C$5:$C$1000,
         MATCH(0,
                 IF('Visão geral'!$C$5:$C$1000&lt;&gt;"",
                    COUNTIF($B$4:B163,'Visão geral'!$C$5:$C$1000),
                 ""),
         0)
  ),
"")</f>
        <v/>
      </c>
      <c r="C164" s="93" t="str">
        <f>IF(B164="","",SUMIF('Visão geral'!$C$5:$C$1000,B164,'Visão geral'!$G$5:$G$1000))</f>
        <v/>
      </c>
      <c r="D164" s="83"/>
      <c r="E164" s="83"/>
      <c r="F164" s="83"/>
      <c r="H164" s="83"/>
      <c r="I164" s="88"/>
      <c r="J164" s="83"/>
      <c r="K164" s="83"/>
    </row>
    <row r="165" spans="2:11" s="87" customFormat="1" ht="20" customHeight="1" x14ac:dyDescent="0.3">
      <c r="B165" s="91" t="str">
        <f t="array" ref="B165">IFERROR(
  INDEX('Visão geral'!$C$5:$C$1000,
         MATCH(0,
                 IF('Visão geral'!$C$5:$C$1000&lt;&gt;"",
                    COUNTIF($B$4:B164,'Visão geral'!$C$5:$C$1000),
                 ""),
         0)
  ),
"")</f>
        <v/>
      </c>
      <c r="C165" s="93" t="str">
        <f>IF(B165="","",SUMIF('Visão geral'!$C$5:$C$1000,B165,'Visão geral'!$G$5:$G$1000))</f>
        <v/>
      </c>
      <c r="D165" s="83"/>
      <c r="E165" s="83"/>
      <c r="F165" s="83"/>
      <c r="H165" s="83"/>
      <c r="I165" s="88"/>
      <c r="J165" s="83"/>
      <c r="K165" s="83"/>
    </row>
    <row r="166" spans="2:11" s="87" customFormat="1" ht="20" customHeight="1" x14ac:dyDescent="0.3">
      <c r="B166" s="88" t="str">
        <f t="array" ref="B166">IFERROR(
  INDEX('Visão geral'!$C$5:$C$1000,
         MATCH(0,
                 IF('Visão geral'!$C$5:$C$1000&lt;&gt;"",
                    COUNTIF($B$4:B165,'Visão geral'!$C$5:$C$1000),
                 ""),
         0)
  ),
"")</f>
        <v/>
      </c>
      <c r="C166" s="93" t="str">
        <f>IF(B166="","",SUMIF('Visão geral'!$C$5:$C$1000,B166,'Visão geral'!$G$5:$G$1000))</f>
        <v/>
      </c>
      <c r="D166" s="83"/>
      <c r="E166" s="83"/>
      <c r="F166" s="83"/>
      <c r="H166" s="83"/>
      <c r="I166" s="88"/>
      <c r="J166" s="83"/>
      <c r="K166" s="83"/>
    </row>
    <row r="167" spans="2:11" s="87" customFormat="1" ht="20" customHeight="1" x14ac:dyDescent="0.3">
      <c r="B167" s="88" t="str">
        <f t="array" ref="B167">IFERROR(
  INDEX('Visão geral'!$C$5:$C$1000,
         MATCH(0,
                 IF('Visão geral'!$C$5:$C$1000&lt;&gt;"",
                    COUNTIF($B$4:B166,'Visão geral'!$C$5:$C$1000),
                 ""),
         0)
  ),
"")</f>
        <v/>
      </c>
      <c r="C167" s="93" t="str">
        <f>IF(B167="","",SUMIF('Visão geral'!$C$5:$C$1000,B167,'Visão geral'!$G$5:$G$1000))</f>
        <v/>
      </c>
      <c r="D167" s="83"/>
      <c r="E167" s="83"/>
      <c r="F167" s="83"/>
      <c r="H167" s="83"/>
      <c r="I167" s="88"/>
      <c r="J167" s="83"/>
      <c r="K167" s="83"/>
    </row>
    <row r="168" spans="2:11" s="87" customFormat="1" ht="20" customHeight="1" x14ac:dyDescent="0.3">
      <c r="B168" s="90" t="str">
        <f t="array" ref="B168">IFERROR(
  INDEX('Visão geral'!$C$5:$C$1000,
         MATCH(0,
                 IF('Visão geral'!$C$5:$C$1000&lt;&gt;"",
                    COUNTIF($B$4:B167,'Visão geral'!$C$5:$C$1000),
                 ""),
         0)
  ),
"")</f>
        <v/>
      </c>
      <c r="C168" s="93" t="str">
        <f>IF(B168="","",SUMIF('Visão geral'!$C$5:$C$1000,B168,'Visão geral'!$G$5:$G$1000))</f>
        <v/>
      </c>
      <c r="D168" s="83"/>
      <c r="E168" s="83"/>
      <c r="F168" s="83"/>
      <c r="H168" s="83"/>
      <c r="I168" s="88"/>
      <c r="J168" s="83"/>
      <c r="K168" s="83"/>
    </row>
    <row r="169" spans="2:11" s="87" customFormat="1" ht="20" customHeight="1" x14ac:dyDescent="0.3">
      <c r="B169" s="88" t="str">
        <f t="array" ref="B169">IFERROR(
  INDEX('Visão geral'!$C$5:$C$1000,
         MATCH(0,
                 IF('Visão geral'!$C$5:$C$1000&lt;&gt;"",
                    COUNTIF($B$4:B168,'Visão geral'!$C$5:$C$1000),
                 ""),
         0)
  ),
"")</f>
        <v/>
      </c>
      <c r="C169" s="93" t="str">
        <f>IF(B169="","",SUMIF('Visão geral'!$C$5:$C$1000,B169,'Visão geral'!$G$5:$G$1000))</f>
        <v/>
      </c>
      <c r="D169" s="83"/>
      <c r="E169" s="83"/>
      <c r="F169" s="83"/>
      <c r="H169" s="83"/>
      <c r="I169" s="88"/>
      <c r="J169" s="83"/>
      <c r="K169" s="83"/>
    </row>
    <row r="170" spans="2:11" s="87" customFormat="1" ht="20" customHeight="1" x14ac:dyDescent="0.3">
      <c r="B170" s="88" t="str">
        <f t="array" ref="B170">IFERROR(
  INDEX('Visão geral'!$C$5:$C$1000,
         MATCH(0,
                 IF('Visão geral'!$C$5:$C$1000&lt;&gt;"",
                    COUNTIF($B$4:B169,'Visão geral'!$C$5:$C$1000),
                 ""),
         0)
  ),
"")</f>
        <v/>
      </c>
      <c r="C170" s="93" t="str">
        <f>IF(B170="","",SUMIF('Visão geral'!$C$5:$C$1000,B170,'Visão geral'!$G$5:$G$1000))</f>
        <v/>
      </c>
      <c r="D170" s="83"/>
      <c r="E170" s="83"/>
      <c r="F170" s="83"/>
      <c r="H170" s="83"/>
      <c r="I170" s="88"/>
      <c r="J170" s="83"/>
      <c r="K170" s="83"/>
    </row>
    <row r="171" spans="2:11" s="87" customFormat="1" ht="20" customHeight="1" x14ac:dyDescent="0.3">
      <c r="B171" s="91" t="str">
        <f t="array" ref="B171">IFERROR(
  INDEX('Visão geral'!$C$5:$C$1000,
         MATCH(0,
                 IF('Visão geral'!$C$5:$C$1000&lt;&gt;"",
                    COUNTIF($B$4:B170,'Visão geral'!$C$5:$C$1000),
                 ""),
         0)
  ),
"")</f>
        <v/>
      </c>
      <c r="C171" s="93" t="str">
        <f>IF(B171="","",SUMIF('Visão geral'!$C$5:$C$1000,B171,'Visão geral'!$G$5:$G$1000))</f>
        <v/>
      </c>
      <c r="D171" s="83"/>
      <c r="E171" s="83"/>
      <c r="F171" s="83"/>
      <c r="H171" s="83"/>
      <c r="I171" s="88"/>
      <c r="J171" s="83"/>
      <c r="K171" s="83"/>
    </row>
    <row r="172" spans="2:11" s="87" customFormat="1" ht="20" customHeight="1" x14ac:dyDescent="0.3">
      <c r="B172" s="88" t="str">
        <f t="array" ref="B172">IFERROR(
  INDEX('Visão geral'!$C$5:$C$1000,
         MATCH(0,
                 IF('Visão geral'!$C$5:$C$1000&lt;&gt;"",
                    COUNTIF($B$4:B171,'Visão geral'!$C$5:$C$1000),
                 ""),
         0)
  ),
"")</f>
        <v/>
      </c>
      <c r="C172" s="93" t="str">
        <f>IF(B172="","",SUMIF('Visão geral'!$C$5:$C$1000,B172,'Visão geral'!$G$5:$G$1000))</f>
        <v/>
      </c>
      <c r="D172" s="83"/>
      <c r="E172" s="83"/>
      <c r="F172" s="83"/>
      <c r="H172" s="83"/>
      <c r="I172" s="88"/>
      <c r="J172" s="83"/>
      <c r="K172" s="83"/>
    </row>
    <row r="173" spans="2:11" s="87" customFormat="1" ht="20" customHeight="1" x14ac:dyDescent="0.3">
      <c r="B173" s="88" t="str">
        <f t="array" ref="B173">IFERROR(
  INDEX('Visão geral'!$C$5:$C$1000,
         MATCH(0,
                 IF('Visão geral'!$C$5:$C$1000&lt;&gt;"",
                    COUNTIF($B$4:B172,'Visão geral'!$C$5:$C$1000),
                 ""),
         0)
  ),
"")</f>
        <v/>
      </c>
      <c r="C173" s="93" t="str">
        <f>IF(B173="","",SUMIF('Visão geral'!$C$5:$C$1000,B173,'Visão geral'!$G$5:$G$1000))</f>
        <v/>
      </c>
      <c r="D173" s="83"/>
      <c r="E173" s="83"/>
      <c r="F173" s="83"/>
      <c r="H173" s="83"/>
      <c r="I173" s="88"/>
      <c r="J173" s="83"/>
      <c r="K173" s="83"/>
    </row>
    <row r="174" spans="2:11" s="87" customFormat="1" ht="20" customHeight="1" x14ac:dyDescent="0.3">
      <c r="B174" s="90" t="str">
        <f t="array" ref="B174">IFERROR(
  INDEX('Visão geral'!$C$5:$C$1000,
         MATCH(0,
                 IF('Visão geral'!$C$5:$C$1000&lt;&gt;"",
                    COUNTIF($B$4:B173,'Visão geral'!$C$5:$C$1000),
                 ""),
         0)
  ),
"")</f>
        <v/>
      </c>
      <c r="C174" s="93" t="str">
        <f>IF(B174="","",SUMIF('Visão geral'!$C$5:$C$1000,B174,'Visão geral'!$G$5:$G$1000))</f>
        <v/>
      </c>
      <c r="D174" s="83"/>
      <c r="E174" s="83"/>
      <c r="F174" s="83"/>
      <c r="H174" s="83"/>
      <c r="I174" s="88"/>
      <c r="J174" s="83"/>
      <c r="K174" s="83"/>
    </row>
    <row r="175" spans="2:11" s="87" customFormat="1" ht="20" customHeight="1" x14ac:dyDescent="0.3">
      <c r="B175" s="88" t="str">
        <f t="array" ref="B175">IFERROR(
  INDEX('Visão geral'!$C$5:$C$1000,
         MATCH(0,
                 IF('Visão geral'!$C$5:$C$1000&lt;&gt;"",
                    COUNTIF($B$4:B174,'Visão geral'!$C$5:$C$1000),
                 ""),
         0)
  ),
"")</f>
        <v/>
      </c>
      <c r="C175" s="93" t="str">
        <f>IF(B175="","",SUMIF('Visão geral'!$C$5:$C$1000,B175,'Visão geral'!$G$5:$G$1000))</f>
        <v/>
      </c>
      <c r="D175" s="83"/>
      <c r="E175" s="83"/>
      <c r="F175" s="83"/>
      <c r="H175" s="83"/>
      <c r="I175" s="88"/>
      <c r="J175" s="83"/>
      <c r="K175" s="83"/>
    </row>
    <row r="176" spans="2:11" s="87" customFormat="1" ht="20" customHeight="1" x14ac:dyDescent="0.3">
      <c r="B176" s="88" t="str">
        <f t="array" ref="B176">IFERROR(
  INDEX('Visão geral'!$C$5:$C$1000,
         MATCH(0,
                 IF('Visão geral'!$C$5:$C$1000&lt;&gt;"",
                    COUNTIF($B$4:B175,'Visão geral'!$C$5:$C$1000),
                 ""),
         0)
  ),
"")</f>
        <v/>
      </c>
      <c r="C176" s="93" t="str">
        <f>IF(B176="","",SUMIF('Visão geral'!$C$5:$C$1000,B176,'Visão geral'!$G$5:$G$1000))</f>
        <v/>
      </c>
      <c r="D176" s="83"/>
      <c r="E176" s="83"/>
      <c r="F176" s="83"/>
      <c r="H176" s="83"/>
      <c r="I176" s="88"/>
      <c r="J176" s="83"/>
      <c r="K176" s="83"/>
    </row>
    <row r="177" spans="2:11" s="87" customFormat="1" ht="20" customHeight="1" x14ac:dyDescent="0.3">
      <c r="B177" s="91" t="str">
        <f t="array" ref="B177">IFERROR(
  INDEX('Visão geral'!$C$5:$C$1000,
         MATCH(0,
                 IF('Visão geral'!$C$5:$C$1000&lt;&gt;"",
                    COUNTIF($B$4:B176,'Visão geral'!$C$5:$C$1000),
                 ""),
         0)
  ),
"")</f>
        <v/>
      </c>
      <c r="C177" s="93" t="str">
        <f>IF(B177="","",SUMIF('Visão geral'!$C$5:$C$1000,B177,'Visão geral'!$G$5:$G$1000))</f>
        <v/>
      </c>
      <c r="D177" s="83"/>
      <c r="E177" s="83"/>
      <c r="F177" s="83"/>
      <c r="H177" s="83"/>
      <c r="I177" s="88"/>
      <c r="J177" s="83"/>
      <c r="K177" s="83"/>
    </row>
    <row r="178" spans="2:11" s="87" customFormat="1" ht="20" customHeight="1" x14ac:dyDescent="0.3">
      <c r="B178" s="88" t="str">
        <f t="array" ref="B178">IFERROR(
  INDEX('Visão geral'!$C$5:$C$1000,
         MATCH(0,
                 IF('Visão geral'!$C$5:$C$1000&lt;&gt;"",
                    COUNTIF($B$4:B177,'Visão geral'!$C$5:$C$1000),
                 ""),
         0)
  ),
"")</f>
        <v/>
      </c>
      <c r="C178" s="93" t="str">
        <f>IF(B178="","",SUMIF('Visão geral'!$C$5:$C$1000,B178,'Visão geral'!$G$5:$G$1000))</f>
        <v/>
      </c>
      <c r="D178" s="83"/>
      <c r="E178" s="83"/>
      <c r="F178" s="83"/>
      <c r="H178" s="83"/>
      <c r="I178" s="88"/>
      <c r="J178" s="83"/>
      <c r="K178" s="83"/>
    </row>
    <row r="179" spans="2:11" s="87" customFormat="1" ht="20" customHeight="1" x14ac:dyDescent="0.3">
      <c r="B179" s="88" t="str">
        <f t="array" ref="B179">IFERROR(
  INDEX('Visão geral'!$C$5:$C$1000,
         MATCH(0,
                 IF('Visão geral'!$C$5:$C$1000&lt;&gt;"",
                    COUNTIF($B$4:B178,'Visão geral'!$C$5:$C$1000),
                 ""),
         0)
  ),
"")</f>
        <v/>
      </c>
      <c r="C179" s="93" t="str">
        <f>IF(B179="","",SUMIF('Visão geral'!$C$5:$C$1000,B179,'Visão geral'!$G$5:$G$1000))</f>
        <v/>
      </c>
      <c r="D179" s="83"/>
      <c r="E179" s="83"/>
      <c r="F179" s="83"/>
      <c r="H179" s="83"/>
      <c r="I179" s="88"/>
      <c r="J179" s="83"/>
      <c r="K179" s="83"/>
    </row>
    <row r="180" spans="2:11" s="87" customFormat="1" ht="20" customHeight="1" x14ac:dyDescent="0.3">
      <c r="B180" s="90" t="str">
        <f t="array" ref="B180">IFERROR(
  INDEX('Visão geral'!$C$5:$C$1000,
         MATCH(0,
                 IF('Visão geral'!$C$5:$C$1000&lt;&gt;"",
                    COUNTIF($B$4:B179,'Visão geral'!$C$5:$C$1000),
                 ""),
         0)
  ),
"")</f>
        <v/>
      </c>
      <c r="C180" s="93" t="str">
        <f>IF(B180="","",SUMIF('Visão geral'!$C$5:$C$1000,B180,'Visão geral'!$G$5:$G$1000))</f>
        <v/>
      </c>
      <c r="D180" s="83"/>
      <c r="E180" s="83"/>
      <c r="F180" s="83"/>
      <c r="H180" s="83"/>
      <c r="I180" s="88"/>
      <c r="J180" s="83"/>
      <c r="K180" s="83"/>
    </row>
    <row r="181" spans="2:11" s="87" customFormat="1" ht="20" customHeight="1" x14ac:dyDescent="0.3">
      <c r="B181" s="88" t="str">
        <f t="array" ref="B181">IFERROR(
  INDEX('Visão geral'!$C$5:$C$1000,
         MATCH(0,
                 IF('Visão geral'!$C$5:$C$1000&lt;&gt;"",
                    COUNTIF($B$4:B180,'Visão geral'!$C$5:$C$1000),
                 ""),
         0)
  ),
"")</f>
        <v/>
      </c>
      <c r="C181" s="93" t="str">
        <f>IF(B181="","",SUMIF('Visão geral'!$C$5:$C$1000,B181,'Visão geral'!$G$5:$G$1000))</f>
        <v/>
      </c>
      <c r="D181" s="83"/>
      <c r="E181" s="83"/>
      <c r="F181" s="83"/>
      <c r="H181" s="83"/>
      <c r="I181" s="88"/>
      <c r="J181" s="83"/>
      <c r="K181" s="83"/>
    </row>
    <row r="182" spans="2:11" s="87" customFormat="1" ht="20" customHeight="1" x14ac:dyDescent="0.3">
      <c r="B182" s="88" t="str">
        <f t="array" ref="B182">IFERROR(
  INDEX('Visão geral'!$C$5:$C$1000,
         MATCH(0,
                 IF('Visão geral'!$C$5:$C$1000&lt;&gt;"",
                    COUNTIF($B$4:B181,'Visão geral'!$C$5:$C$1000),
                 ""),
         0)
  ),
"")</f>
        <v/>
      </c>
      <c r="C182" s="93" t="str">
        <f>IF(B182="","",SUMIF('Visão geral'!$C$5:$C$1000,B182,'Visão geral'!$G$5:$G$1000))</f>
        <v/>
      </c>
      <c r="D182" s="83"/>
      <c r="E182" s="83"/>
      <c r="F182" s="83"/>
      <c r="H182" s="83"/>
      <c r="I182" s="88"/>
      <c r="J182" s="83"/>
      <c r="K182" s="83"/>
    </row>
    <row r="183" spans="2:11" s="87" customFormat="1" ht="20" customHeight="1" x14ac:dyDescent="0.3">
      <c r="B183" s="91" t="str">
        <f t="array" ref="B183">IFERROR(
  INDEX('Visão geral'!$C$5:$C$1000,
         MATCH(0,
                 IF('Visão geral'!$C$5:$C$1000&lt;&gt;"",
                    COUNTIF($B$4:B182,'Visão geral'!$C$5:$C$1000),
                 ""),
         0)
  ),
"")</f>
        <v/>
      </c>
      <c r="C183" s="93" t="str">
        <f>IF(B183="","",SUMIF('Visão geral'!$C$5:$C$1000,B183,'Visão geral'!$G$5:$G$1000))</f>
        <v/>
      </c>
      <c r="D183" s="83"/>
      <c r="E183" s="83"/>
      <c r="F183" s="83"/>
      <c r="H183" s="83"/>
      <c r="I183" s="88"/>
      <c r="J183" s="83"/>
      <c r="K183" s="83"/>
    </row>
    <row r="184" spans="2:11" s="87" customFormat="1" ht="20" customHeight="1" x14ac:dyDescent="0.3">
      <c r="B184" s="88" t="str">
        <f t="array" ref="B184">IFERROR(
  INDEX('Visão geral'!$C$5:$C$1000,
         MATCH(0,
                 IF('Visão geral'!$C$5:$C$1000&lt;&gt;"",
                    COUNTIF($B$4:B183,'Visão geral'!$C$5:$C$1000),
                 ""),
         0)
  ),
"")</f>
        <v/>
      </c>
      <c r="C184" s="93" t="str">
        <f>IF(B184="","",SUMIF('Visão geral'!$C$5:$C$1000,B184,'Visão geral'!$G$5:$G$1000))</f>
        <v/>
      </c>
      <c r="D184" s="83"/>
      <c r="E184" s="83"/>
      <c r="F184" s="83"/>
      <c r="H184" s="83"/>
      <c r="I184" s="88"/>
      <c r="J184" s="83"/>
      <c r="K184" s="83"/>
    </row>
    <row r="185" spans="2:11" s="87" customFormat="1" ht="20" customHeight="1" x14ac:dyDescent="0.3">
      <c r="B185" s="88" t="str">
        <f t="array" ref="B185">IFERROR(
  INDEX('Visão geral'!$C$5:$C$1000,
         MATCH(0,
                 IF('Visão geral'!$C$5:$C$1000&lt;&gt;"",
                    COUNTIF($B$4:B184,'Visão geral'!$C$5:$C$1000),
                 ""),
         0)
  ),
"")</f>
        <v/>
      </c>
      <c r="C185" s="93" t="str">
        <f>IF(B185="","",SUMIF('Visão geral'!$C$5:$C$1000,B185,'Visão geral'!$G$5:$G$1000))</f>
        <v/>
      </c>
      <c r="D185" s="83"/>
      <c r="E185" s="83"/>
      <c r="F185" s="83"/>
      <c r="H185" s="83"/>
      <c r="I185" s="88"/>
      <c r="J185" s="83"/>
      <c r="K185" s="83"/>
    </row>
    <row r="186" spans="2:11" s="87" customFormat="1" ht="20" customHeight="1" x14ac:dyDescent="0.3">
      <c r="B186" s="90" t="str">
        <f t="array" ref="B186">IFERROR(
  INDEX('Visão geral'!$C$5:$C$1000,
         MATCH(0,
                 IF('Visão geral'!$C$5:$C$1000&lt;&gt;"",
                    COUNTIF($B$4:B185,'Visão geral'!$C$5:$C$1000),
                 ""),
         0)
  ),
"")</f>
        <v/>
      </c>
      <c r="C186" s="93" t="str">
        <f>IF(B186="","",SUMIF('Visão geral'!$C$5:$C$1000,B186,'Visão geral'!$G$5:$G$1000))</f>
        <v/>
      </c>
      <c r="D186" s="83"/>
      <c r="E186" s="83"/>
      <c r="F186" s="83"/>
      <c r="H186" s="83"/>
      <c r="I186" s="88"/>
      <c r="J186" s="83"/>
      <c r="K186" s="83"/>
    </row>
    <row r="187" spans="2:11" s="87" customFormat="1" ht="20" customHeight="1" x14ac:dyDescent="0.3">
      <c r="B187" s="88" t="str">
        <f t="array" ref="B187">IFERROR(
  INDEX('Visão geral'!$C$5:$C$1000,
         MATCH(0,
                 IF('Visão geral'!$C$5:$C$1000&lt;&gt;"",
                    COUNTIF($B$4:B186,'Visão geral'!$C$5:$C$1000),
                 ""),
         0)
  ),
"")</f>
        <v/>
      </c>
      <c r="C187" s="93" t="str">
        <f>IF(B187="","",SUMIF('Visão geral'!$C$5:$C$1000,B187,'Visão geral'!$G$5:$G$1000))</f>
        <v/>
      </c>
      <c r="D187" s="83"/>
      <c r="E187" s="83"/>
      <c r="F187" s="83"/>
      <c r="H187" s="83"/>
      <c r="I187" s="88"/>
      <c r="J187" s="83"/>
      <c r="K187" s="83"/>
    </row>
    <row r="188" spans="2:11" s="87" customFormat="1" ht="20" customHeight="1" x14ac:dyDescent="0.3">
      <c r="B188" s="88" t="str">
        <f t="array" ref="B188">IFERROR(
  INDEX('Visão geral'!$C$5:$C$1000,
         MATCH(0,
                 IF('Visão geral'!$C$5:$C$1000&lt;&gt;"",
                    COUNTIF($B$4:B187,'Visão geral'!$C$5:$C$1000),
                 ""),
         0)
  ),
"")</f>
        <v/>
      </c>
      <c r="C188" s="93" t="str">
        <f>IF(B188="","",SUMIF('Visão geral'!$C$5:$C$1000,B188,'Visão geral'!$G$5:$G$1000))</f>
        <v/>
      </c>
      <c r="D188" s="83"/>
      <c r="E188" s="83"/>
      <c r="F188" s="83"/>
      <c r="H188" s="83"/>
      <c r="I188" s="88"/>
      <c r="J188" s="83"/>
      <c r="K188" s="83"/>
    </row>
    <row r="189" spans="2:11" s="87" customFormat="1" ht="20" customHeight="1" x14ac:dyDescent="0.3">
      <c r="B189" s="91" t="str">
        <f t="array" ref="B189">IFERROR(
  INDEX('Visão geral'!$C$5:$C$1000,
         MATCH(0,
                 IF('Visão geral'!$C$5:$C$1000&lt;&gt;"",
                    COUNTIF($B$4:B188,'Visão geral'!$C$5:$C$1000),
                 ""),
         0)
  ),
"")</f>
        <v/>
      </c>
      <c r="C189" s="93" t="str">
        <f>IF(B189="","",SUMIF('Visão geral'!$C$5:$C$1000,B189,'Visão geral'!$G$5:$G$1000))</f>
        <v/>
      </c>
      <c r="D189" s="83"/>
      <c r="E189" s="83"/>
      <c r="F189" s="83"/>
      <c r="H189" s="83"/>
      <c r="I189" s="88"/>
      <c r="J189" s="83"/>
      <c r="K189" s="83"/>
    </row>
    <row r="190" spans="2:11" s="87" customFormat="1" ht="20" customHeight="1" x14ac:dyDescent="0.3">
      <c r="B190" s="88" t="str">
        <f t="array" ref="B190">IFERROR(
  INDEX('Visão geral'!$C$5:$C$1000,
         MATCH(0,
                 IF('Visão geral'!$C$5:$C$1000&lt;&gt;"",
                    COUNTIF($B$4:B189,'Visão geral'!$C$5:$C$1000),
                 ""),
         0)
  ),
"")</f>
        <v/>
      </c>
      <c r="C190" s="93" t="str">
        <f>IF(B190="","",SUMIF('Visão geral'!$C$5:$C$1000,B190,'Visão geral'!$G$5:$G$1000))</f>
        <v/>
      </c>
      <c r="D190" s="83"/>
      <c r="E190" s="83"/>
      <c r="F190" s="83"/>
      <c r="H190" s="83"/>
      <c r="I190" s="88"/>
      <c r="J190" s="83"/>
      <c r="K190" s="83"/>
    </row>
    <row r="191" spans="2:11" s="87" customFormat="1" ht="20" customHeight="1" x14ac:dyDescent="0.3">
      <c r="B191" s="88" t="str">
        <f t="array" ref="B191">IFERROR(
  INDEX('Visão geral'!$C$5:$C$1000,
         MATCH(0,
                 IF('Visão geral'!$C$5:$C$1000&lt;&gt;"",
                    COUNTIF($B$4:B190,'Visão geral'!$C$5:$C$1000),
                 ""),
         0)
  ),
"")</f>
        <v/>
      </c>
      <c r="C191" s="93" t="str">
        <f>IF(B191="","",SUMIF('Visão geral'!$C$5:$C$1000,B191,'Visão geral'!$G$5:$G$1000))</f>
        <v/>
      </c>
      <c r="D191" s="83"/>
      <c r="E191" s="83"/>
      <c r="F191" s="83"/>
      <c r="H191" s="83"/>
      <c r="I191" s="88"/>
      <c r="J191" s="83"/>
      <c r="K191" s="83"/>
    </row>
    <row r="192" spans="2:11" s="87" customFormat="1" ht="20" customHeight="1" x14ac:dyDescent="0.3">
      <c r="B192" s="90" t="str">
        <f t="array" ref="B192">IFERROR(
  INDEX('Visão geral'!$C$5:$C$1000,
         MATCH(0,
                 IF('Visão geral'!$C$5:$C$1000&lt;&gt;"",
                    COUNTIF($B$4:B191,'Visão geral'!$C$5:$C$1000),
                 ""),
         0)
  ),
"")</f>
        <v/>
      </c>
      <c r="C192" s="93" t="str">
        <f>IF(B192="","",SUMIF('Visão geral'!$C$5:$C$1000,B192,'Visão geral'!$G$5:$G$1000))</f>
        <v/>
      </c>
      <c r="D192" s="83"/>
      <c r="E192" s="83"/>
      <c r="F192" s="83"/>
      <c r="H192" s="83"/>
      <c r="I192" s="88"/>
      <c r="J192" s="83"/>
      <c r="K192" s="83"/>
    </row>
    <row r="193" spans="2:11" s="87" customFormat="1" ht="20" customHeight="1" x14ac:dyDescent="0.3">
      <c r="B193" s="88" t="str">
        <f t="array" ref="B193">IFERROR(
  INDEX('Visão geral'!$C$5:$C$1000,
         MATCH(0,
                 IF('Visão geral'!$C$5:$C$1000&lt;&gt;"",
                    COUNTIF($B$4:B192,'Visão geral'!$C$5:$C$1000),
                 ""),
         0)
  ),
"")</f>
        <v/>
      </c>
      <c r="C193" s="93" t="str">
        <f>IF(B193="","",SUMIF('Visão geral'!$C$5:$C$1000,B193,'Visão geral'!$G$5:$G$1000))</f>
        <v/>
      </c>
      <c r="D193" s="83"/>
      <c r="E193" s="83"/>
      <c r="F193" s="83"/>
      <c r="H193" s="83"/>
      <c r="I193" s="88"/>
      <c r="J193" s="83"/>
      <c r="K193" s="83"/>
    </row>
    <row r="194" spans="2:11" s="87" customFormat="1" ht="20" customHeight="1" x14ac:dyDescent="0.3">
      <c r="B194" s="88" t="str">
        <f t="array" ref="B194">IFERROR(
  INDEX('Visão geral'!$C$5:$C$1000,
         MATCH(0,
                 IF('Visão geral'!$C$5:$C$1000&lt;&gt;"",
                    COUNTIF($B$4:B193,'Visão geral'!$C$5:$C$1000),
                 ""),
         0)
  ),
"")</f>
        <v/>
      </c>
      <c r="C194" s="93" t="str">
        <f>IF(B194="","",SUMIF('Visão geral'!$C$5:$C$1000,B194,'Visão geral'!$G$5:$G$1000))</f>
        <v/>
      </c>
      <c r="D194" s="83"/>
      <c r="E194" s="83"/>
      <c r="F194" s="83"/>
      <c r="H194" s="83"/>
      <c r="I194" s="88"/>
      <c r="J194" s="83"/>
      <c r="K194" s="83"/>
    </row>
    <row r="195" spans="2:11" s="87" customFormat="1" ht="20" customHeight="1" x14ac:dyDescent="0.3">
      <c r="B195" s="88" t="str">
        <f t="array" ref="B195">IFERROR(
  INDEX('Visão geral'!$C$5:$C$1000,
         MATCH(0,
                 IF('Visão geral'!$C$5:$C$1000&lt;&gt;"",
                    COUNTIF($B$4:B194,'Visão geral'!$C$5:$C$1000),
                 ""),
         0)
  ),
"")</f>
        <v/>
      </c>
      <c r="C195" s="93" t="str">
        <f>IF(B195="","",SUMIF('Visão geral'!$C$5:$C$1000,B195,'Visão geral'!$G$5:$G$1000))</f>
        <v/>
      </c>
      <c r="D195" s="83"/>
      <c r="E195" s="83"/>
      <c r="F195" s="83"/>
      <c r="H195" s="83"/>
      <c r="I195" s="88"/>
      <c r="J195" s="83"/>
      <c r="K195" s="83"/>
    </row>
    <row r="196" spans="2:11" s="87" customFormat="1" ht="20" customHeight="1" x14ac:dyDescent="0.3">
      <c r="B196" s="90" t="str">
        <f t="array" ref="B196">IFERROR(
  INDEX('Visão geral'!$C$5:$C$1000,
         MATCH(0,
                 IF('Visão geral'!$C$5:$C$1000&lt;&gt;"",
                    COUNTIF($B$4:B195,'Visão geral'!$C$5:$C$1000),
                 ""),
         0)
  ),
"")</f>
        <v/>
      </c>
      <c r="C196" s="93" t="str">
        <f>IF(B196="","",SUMIF('Visão geral'!$C$5:$C$1000,B196,'Visão geral'!$G$5:$G$1000))</f>
        <v/>
      </c>
      <c r="D196" s="83"/>
      <c r="E196" s="83"/>
      <c r="F196" s="83"/>
      <c r="H196" s="83"/>
      <c r="I196" s="88"/>
      <c r="J196" s="83"/>
      <c r="K196" s="83"/>
    </row>
    <row r="197" spans="2:11" s="87" customFormat="1" ht="20" customHeight="1" x14ac:dyDescent="0.3">
      <c r="B197" s="88" t="str">
        <f t="array" ref="B197">IFERROR(
  INDEX('Visão geral'!$C$5:$C$1000,
         MATCH(0,
                 IF('Visão geral'!$C$5:$C$1000&lt;&gt;"",
                    COUNTIF($B$4:B196,'Visão geral'!$C$5:$C$1000),
                 ""),
         0)
  ),
"")</f>
        <v/>
      </c>
      <c r="C197" s="93" t="str">
        <f>IF(B197="","",SUMIF('Visão geral'!$C$5:$C$1000,B197,'Visão geral'!$G$5:$G$1000))</f>
        <v/>
      </c>
      <c r="D197" s="83"/>
      <c r="E197" s="83"/>
      <c r="F197" s="83"/>
      <c r="H197" s="83"/>
      <c r="I197" s="88"/>
      <c r="J197" s="83"/>
      <c r="K197" s="83"/>
    </row>
    <row r="198" spans="2:11" s="87" customFormat="1" ht="20" customHeight="1" x14ac:dyDescent="0.3">
      <c r="B198" s="90" t="str">
        <f t="array" ref="B198">IFERROR(
  INDEX('Visão geral'!$C$5:$C$1000,
         MATCH(0,
                 IF('Visão geral'!$C$5:$C$1000&lt;&gt;"",
                    COUNTIF($B$4:B197,'Visão geral'!$C$5:$C$1000),
                 ""),
         0)
  ),
"")</f>
        <v/>
      </c>
      <c r="C198" s="134" t="str">
        <f>IF(B198="","",SUMIF('Visão geral'!$C$5:$C$1000,B198,'Visão geral'!$G$5:$G$1000))</f>
        <v/>
      </c>
      <c r="D198" s="135"/>
      <c r="E198" s="135"/>
      <c r="F198" s="135"/>
      <c r="H198" s="135"/>
      <c r="I198" s="90"/>
      <c r="J198" s="135"/>
      <c r="K198" s="135"/>
    </row>
    <row r="199" spans="2:11" s="87" customFormat="1" ht="20" customHeight="1" x14ac:dyDescent="0.3">
      <c r="B199" s="137" t="str">
        <f t="array" ref="B199">IFERROR(
  INDEX('Visão geral'!$C$5:$C$1000,
         MATCH(0,
                 IF('Visão geral'!$C$5:$C$1000&lt;&gt;"",
                    COUNTIF($B$4:B198,'Visão geral'!$C$5:$C$1000),
                 ""),
         0)
  ),
"")</f>
        <v/>
      </c>
      <c r="C199" s="138" t="str">
        <f>IF(B199="","",SUMIF('Visão geral'!$C$5:$C$1000,B199,'Visão geral'!$G$5:$G$1000))</f>
        <v/>
      </c>
      <c r="D199" s="139"/>
      <c r="E199" s="139"/>
      <c r="F199" s="140"/>
      <c r="H199" s="141"/>
      <c r="I199" s="142"/>
      <c r="J199" s="139"/>
      <c r="K199" s="140"/>
    </row>
    <row r="200" spans="2:11" s="87" customFormat="1" ht="20" customHeight="1" x14ac:dyDescent="0.3">
      <c r="B200" s="137" t="str">
        <f t="array" ref="B200">IFERROR(
  INDEX('Visão geral'!$C$5:$C$1000,
         MATCH(0,
                 IF('Visão geral'!$C$5:$C$1000&lt;&gt;"",
                    COUNTIF($B$4:B199,'Visão geral'!$C$5:$C$1000),
                 ""),
         0)
  ),
"")</f>
        <v/>
      </c>
      <c r="C200" s="138" t="str">
        <f>IF(B200="","",SUMIF('Visão geral'!$C$5:$C$1000,B200,'Visão geral'!$G$5:$G$1000))</f>
        <v/>
      </c>
      <c r="D200" s="139"/>
      <c r="E200" s="139"/>
      <c r="F200" s="140"/>
      <c r="H200" s="141"/>
      <c r="I200" s="142"/>
      <c r="J200" s="139"/>
      <c r="K200" s="140"/>
    </row>
    <row r="201" spans="2:11" x14ac:dyDescent="0.3">
      <c r="B201" s="87" t="str">
        <f t="array" ref="B201">IFERROR(
  INDEX('Visão geral'!$C$5:$C$1000,
         MATCH(0,
                 IF('Visão geral'!$C$5:$C$1000&lt;&gt;"",
                    COUNTIF($B$4:B200,'Visão geral'!$C$5:$C$1000),
                 ""),
         0)
  ),
"")</f>
        <v/>
      </c>
      <c r="C201" s="136" t="str">
        <f>IF(B201="","",SUMIF('Visão geral'!$C$5:$C$1000,B201,'Visão geral'!$G$5:$G$1000))</f>
        <v/>
      </c>
      <c r="E201" s="86"/>
    </row>
  </sheetData>
  <mergeCells count="5">
    <mergeCell ref="H3:K3"/>
    <mergeCell ref="B1:K1"/>
    <mergeCell ref="B4:C4"/>
    <mergeCell ref="H4:I4"/>
    <mergeCell ref="B3:F3"/>
  </mergeCells>
  <dataValidations count="1">
    <dataValidation allowBlank="1" showErrorMessage="1" sqref="B1 L1:O1" xr:uid="{16F65B09-DF43-4EA2-9115-42A04BC1E61F}"/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6CE00"/>
  </sheetPr>
  <dimension ref="A1:L74"/>
  <sheetViews>
    <sheetView topLeftCell="A40" workbookViewId="0">
      <selection activeCell="D55" sqref="D55:H55"/>
    </sheetView>
  </sheetViews>
  <sheetFormatPr defaultColWidth="0" defaultRowHeight="0" customHeight="1" zeroHeight="1" x14ac:dyDescent="0.3"/>
  <cols>
    <col min="1" max="1" width="1.6640625" style="39" customWidth="1"/>
    <col min="2" max="2" width="12.6640625" style="39" customWidth="1"/>
    <col min="3" max="3" width="12.75" style="39" customWidth="1"/>
    <col min="4" max="9" width="12.6640625" style="39" customWidth="1"/>
    <col min="10" max="10" width="1.6640625" style="39" customWidth="1"/>
    <col min="11" max="16384" width="12.6640625" style="39" hidden="1"/>
  </cols>
  <sheetData>
    <row r="1" spans="2:10" ht="46.5" customHeight="1" x14ac:dyDescent="0.3">
      <c r="B1" s="167" t="s">
        <v>101</v>
      </c>
      <c r="C1" s="167"/>
      <c r="D1" s="167"/>
      <c r="E1" s="167"/>
      <c r="F1" s="167"/>
      <c r="G1" s="167"/>
      <c r="H1" s="167"/>
      <c r="I1" s="167"/>
      <c r="J1" s="132"/>
    </row>
    <row r="2" spans="2:10" ht="10" customHeight="1" x14ac:dyDescent="0.3">
      <c r="B2" s="118"/>
      <c r="C2" s="118"/>
      <c r="D2" s="118"/>
      <c r="E2" s="118"/>
      <c r="F2" s="118"/>
      <c r="G2" s="118"/>
      <c r="H2" s="118"/>
      <c r="I2" s="118"/>
      <c r="J2" s="118"/>
    </row>
    <row r="3" spans="2:10" ht="15" customHeight="1" x14ac:dyDescent="0.3">
      <c r="B3" s="166" t="s">
        <v>102</v>
      </c>
      <c r="C3" s="166"/>
      <c r="D3" s="166"/>
      <c r="E3" s="166"/>
      <c r="F3" s="166"/>
      <c r="G3" s="166"/>
      <c r="H3" s="166"/>
      <c r="I3" s="166"/>
      <c r="J3" s="133"/>
    </row>
    <row r="4" spans="2:10" ht="15" customHeight="1" x14ac:dyDescent="0.3">
      <c r="B4" s="166"/>
      <c r="C4" s="166"/>
      <c r="D4" s="166"/>
      <c r="E4" s="166"/>
      <c r="F4" s="166"/>
      <c r="G4" s="166"/>
      <c r="H4" s="166"/>
      <c r="I4" s="166"/>
      <c r="J4" s="133"/>
    </row>
    <row r="5" spans="2:10" ht="15" customHeight="1" x14ac:dyDescent="0.35">
      <c r="B5" s="131"/>
      <c r="C5" s="131"/>
      <c r="D5" s="131"/>
      <c r="E5" s="131"/>
      <c r="F5" s="131"/>
      <c r="G5" s="131"/>
      <c r="H5" s="131"/>
      <c r="I5" s="131"/>
      <c r="J5" s="131"/>
    </row>
    <row r="6" spans="2:10" ht="15" customHeight="1" x14ac:dyDescent="0.35">
      <c r="B6" s="131"/>
      <c r="C6" s="131"/>
      <c r="D6" s="168" t="s">
        <v>104</v>
      </c>
      <c r="E6" s="168"/>
      <c r="F6" s="168"/>
      <c r="G6" s="168"/>
      <c r="H6" s="168"/>
      <c r="I6" s="168"/>
      <c r="J6" s="168"/>
    </row>
    <row r="7" spans="2:10" ht="10" customHeight="1" x14ac:dyDescent="0.35">
      <c r="B7" s="131"/>
      <c r="C7" s="131"/>
      <c r="D7" s="131"/>
      <c r="E7" s="131"/>
      <c r="F7" s="131"/>
      <c r="G7" s="131"/>
      <c r="H7" s="131"/>
      <c r="I7" s="131"/>
      <c r="J7" s="131"/>
    </row>
    <row r="8" spans="2:10" ht="15" customHeight="1" x14ac:dyDescent="0.35">
      <c r="B8" s="131"/>
      <c r="C8"/>
      <c r="D8" s="119" t="s">
        <v>105</v>
      </c>
      <c r="E8" s="116"/>
      <c r="F8" s="116"/>
      <c r="G8" s="116"/>
      <c r="H8" s="116"/>
      <c r="I8" s="131"/>
      <c r="J8" s="131"/>
    </row>
    <row r="9" spans="2:10" ht="15" customHeight="1" x14ac:dyDescent="0.35">
      <c r="B9" s="131"/>
      <c r="C9" s="131"/>
      <c r="D9" s="119" t="s">
        <v>106</v>
      </c>
      <c r="E9" s="116"/>
      <c r="F9" s="116"/>
      <c r="G9" s="116"/>
      <c r="H9" s="116"/>
      <c r="I9" s="131"/>
      <c r="J9" s="131"/>
    </row>
    <row r="10" spans="2:10" ht="10" customHeight="1" x14ac:dyDescent="0.35">
      <c r="B10" s="131"/>
      <c r="C10" s="131"/>
      <c r="D10" s="120"/>
      <c r="E10" s="116"/>
      <c r="F10" s="116"/>
      <c r="G10" s="116"/>
      <c r="H10" s="116"/>
      <c r="I10" s="131"/>
      <c r="J10" s="131"/>
    </row>
    <row r="11" spans="2:10" ht="15" customHeight="1" x14ac:dyDescent="0.35">
      <c r="B11" s="131"/>
      <c r="C11" s="131"/>
      <c r="D11" s="120" t="s">
        <v>107</v>
      </c>
      <c r="E11" s="116"/>
      <c r="F11" s="116"/>
      <c r="G11" s="116"/>
      <c r="H11" s="116"/>
      <c r="I11" s="131"/>
      <c r="J11" s="131"/>
    </row>
    <row r="12" spans="2:10" ht="15" customHeight="1" x14ac:dyDescent="0.35">
      <c r="B12" s="131"/>
      <c r="C12" s="131"/>
      <c r="D12" s="120" t="s">
        <v>108</v>
      </c>
      <c r="E12" s="116"/>
      <c r="F12" s="116"/>
      <c r="G12" s="116"/>
      <c r="H12" s="116"/>
      <c r="I12" s="131"/>
      <c r="J12" s="131"/>
    </row>
    <row r="13" spans="2:10" ht="15" customHeight="1" x14ac:dyDescent="0.35">
      <c r="B13" s="131"/>
      <c r="C13" s="131"/>
      <c r="D13" s="120" t="s">
        <v>109</v>
      </c>
      <c r="E13" s="116"/>
      <c r="F13" s="116"/>
      <c r="G13" s="116"/>
      <c r="H13" s="116"/>
      <c r="I13" s="131"/>
      <c r="J13" s="131"/>
    </row>
    <row r="14" spans="2:10" ht="15" customHeight="1" x14ac:dyDescent="0.35">
      <c r="B14" s="131"/>
      <c r="C14" s="131"/>
      <c r="D14" s="120" t="s">
        <v>110</v>
      </c>
      <c r="E14" s="116"/>
      <c r="F14" s="116"/>
      <c r="G14" s="116"/>
      <c r="H14" s="116"/>
      <c r="I14" s="131"/>
      <c r="J14" s="131"/>
    </row>
    <row r="15" spans="2:10" ht="10" customHeight="1" x14ac:dyDescent="0.35">
      <c r="B15" s="131"/>
      <c r="C15" s="131"/>
      <c r="D15" s="131"/>
      <c r="E15" s="131"/>
      <c r="F15" s="131"/>
      <c r="G15" s="131"/>
      <c r="H15" s="131"/>
      <c r="I15" s="131"/>
      <c r="J15" s="131"/>
    </row>
    <row r="16" spans="2:10" ht="15" customHeight="1" x14ac:dyDescent="0.35">
      <c r="B16" s="131"/>
      <c r="C16" s="131"/>
      <c r="D16" s="169" t="s">
        <v>111</v>
      </c>
      <c r="E16" s="169"/>
      <c r="F16" s="169"/>
      <c r="G16" s="169"/>
      <c r="H16" s="169"/>
      <c r="I16" s="169"/>
      <c r="J16" s="169"/>
    </row>
    <row r="17" spans="2:12" ht="15" customHeight="1" x14ac:dyDescent="0.35">
      <c r="B17" s="131"/>
      <c r="C17" s="131"/>
      <c r="D17" s="121"/>
      <c r="E17" s="121"/>
      <c r="F17" s="121"/>
      <c r="G17" s="121"/>
      <c r="H17" s="121"/>
      <c r="I17" s="121"/>
      <c r="J17" s="121"/>
    </row>
    <row r="18" spans="2:12" ht="15" customHeight="1" x14ac:dyDescent="0.35">
      <c r="B18" s="131"/>
      <c r="C18" s="131"/>
      <c r="D18" s="131"/>
      <c r="E18" s="131"/>
      <c r="F18" s="131"/>
      <c r="G18" s="131"/>
      <c r="H18" s="131"/>
      <c r="I18" s="131"/>
      <c r="J18" s="131"/>
    </row>
    <row r="19" spans="2:12" ht="15" customHeight="1" x14ac:dyDescent="0.35">
      <c r="B19" s="131"/>
      <c r="C19" s="131"/>
      <c r="D19" s="168" t="s">
        <v>119</v>
      </c>
      <c r="E19" s="168"/>
      <c r="F19" s="168"/>
      <c r="G19" s="168"/>
      <c r="H19" s="168"/>
      <c r="I19" s="168"/>
      <c r="J19" s="168"/>
    </row>
    <row r="20" spans="2:12" ht="10" customHeight="1" x14ac:dyDescent="0.35">
      <c r="B20" s="131"/>
      <c r="C20"/>
      <c r="D20" s="131"/>
      <c r="E20" s="131"/>
      <c r="F20" s="131"/>
      <c r="G20" s="131"/>
      <c r="H20" s="131"/>
      <c r="I20" s="131"/>
      <c r="J20" s="131"/>
    </row>
    <row r="21" spans="2:12" ht="15" customHeight="1" x14ac:dyDescent="0.35">
      <c r="B21" s="131"/>
      <c r="C21" s="131"/>
      <c r="D21" s="119" t="s">
        <v>114</v>
      </c>
      <c r="E21" s="116"/>
      <c r="F21" s="116"/>
      <c r="G21" s="116"/>
      <c r="H21" s="116"/>
      <c r="I21" s="131"/>
      <c r="J21" s="131"/>
    </row>
    <row r="22" spans="2:12" ht="15" customHeight="1" x14ac:dyDescent="0.35">
      <c r="B22" s="131"/>
      <c r="C22" s="131"/>
      <c r="D22" s="119" t="s">
        <v>113</v>
      </c>
      <c r="E22" s="116"/>
      <c r="F22" s="116"/>
      <c r="G22" s="116"/>
      <c r="H22" s="116"/>
      <c r="I22" s="131"/>
      <c r="J22" s="131"/>
    </row>
    <row r="23" spans="2:12" ht="10" customHeight="1" x14ac:dyDescent="0.35">
      <c r="B23" s="131"/>
      <c r="C23" s="131"/>
      <c r="D23" s="120"/>
      <c r="E23" s="116"/>
      <c r="F23" s="116"/>
      <c r="G23" s="116"/>
      <c r="H23" s="116"/>
      <c r="I23" s="131"/>
      <c r="J23" s="131"/>
    </row>
    <row r="24" spans="2:12" ht="15" customHeight="1" x14ac:dyDescent="0.35">
      <c r="B24" s="131"/>
      <c r="C24" s="131"/>
      <c r="D24" s="120" t="s">
        <v>118</v>
      </c>
      <c r="E24" s="116"/>
      <c r="F24" s="116"/>
      <c r="G24" s="116"/>
      <c r="H24" s="116"/>
      <c r="I24" s="131"/>
      <c r="J24" s="131"/>
    </row>
    <row r="25" spans="2:12" ht="15" customHeight="1" x14ac:dyDescent="0.35">
      <c r="B25" s="131"/>
      <c r="C25" s="131"/>
      <c r="D25" s="120" t="s">
        <v>115</v>
      </c>
      <c r="E25" s="116"/>
      <c r="F25" s="116"/>
      <c r="G25" s="116"/>
      <c r="H25" s="116"/>
      <c r="I25" s="131"/>
      <c r="J25" s="131"/>
    </row>
    <row r="26" spans="2:12" ht="15" customHeight="1" x14ac:dyDescent="0.35">
      <c r="B26" s="131"/>
      <c r="C26" s="131"/>
      <c r="D26" s="120" t="s">
        <v>116</v>
      </c>
      <c r="E26" s="116"/>
      <c r="F26" s="116"/>
      <c r="G26" s="116"/>
      <c r="H26" s="116"/>
      <c r="I26" s="131"/>
      <c r="J26" s="131"/>
    </row>
    <row r="27" spans="2:12" ht="15" customHeight="1" x14ac:dyDescent="0.35">
      <c r="B27" s="131"/>
      <c r="C27" s="131"/>
      <c r="D27" s="120" t="s">
        <v>117</v>
      </c>
      <c r="E27" s="116"/>
      <c r="F27" s="116"/>
      <c r="G27" s="116"/>
      <c r="H27" s="116"/>
      <c r="I27" s="131"/>
      <c r="J27" s="131"/>
    </row>
    <row r="28" spans="2:12" ht="10" customHeight="1" x14ac:dyDescent="0.35">
      <c r="B28" s="131"/>
      <c r="C28" s="131"/>
      <c r="D28" s="131"/>
      <c r="E28" s="131"/>
      <c r="F28" s="131"/>
      <c r="G28" s="131"/>
      <c r="H28" s="131"/>
      <c r="I28" s="131"/>
      <c r="J28" s="131"/>
    </row>
    <row r="29" spans="2:12" ht="15" customHeight="1" x14ac:dyDescent="0.35">
      <c r="B29" s="131"/>
      <c r="C29" s="131"/>
      <c r="D29" s="169" t="s">
        <v>112</v>
      </c>
      <c r="E29" s="169"/>
      <c r="F29" s="169"/>
      <c r="G29" s="169"/>
      <c r="H29" s="169"/>
      <c r="I29" s="169"/>
      <c r="J29" s="169"/>
    </row>
    <row r="30" spans="2:12" ht="15" customHeight="1" x14ac:dyDescent="0.35">
      <c r="B30" s="131"/>
      <c r="C30" s="131"/>
      <c r="D30" s="121"/>
      <c r="E30" s="121"/>
      <c r="F30" s="121"/>
      <c r="G30" s="121"/>
      <c r="H30" s="121"/>
      <c r="I30" s="121"/>
      <c r="J30" s="121"/>
    </row>
    <row r="31" spans="2:12" ht="15" customHeight="1" x14ac:dyDescent="0.35">
      <c r="B31" s="117"/>
      <c r="C31" s="131"/>
      <c r="D31" s="131"/>
      <c r="E31" s="131"/>
      <c r="F31" s="131"/>
      <c r="G31" s="131"/>
      <c r="H31" s="131"/>
      <c r="I31" s="131"/>
      <c r="J31" s="131"/>
    </row>
    <row r="32" spans="2:12" ht="15" customHeight="1" x14ac:dyDescent="0.35">
      <c r="D32" s="168" t="s">
        <v>120</v>
      </c>
      <c r="E32" s="168"/>
      <c r="F32" s="168"/>
      <c r="G32" s="168"/>
      <c r="H32" s="168"/>
      <c r="I32" s="168"/>
      <c r="J32" s="122"/>
      <c r="K32" s="131"/>
      <c r="L32" s="131"/>
    </row>
    <row r="33" spans="2:12" ht="10" customHeight="1" x14ac:dyDescent="0.35">
      <c r="B33"/>
      <c r="D33" s="131"/>
      <c r="E33" s="131"/>
      <c r="F33" s="131"/>
      <c r="G33" s="131"/>
      <c r="H33" s="131"/>
      <c r="I33" s="131"/>
      <c r="J33" s="131"/>
      <c r="K33" s="131"/>
      <c r="L33" s="131"/>
    </row>
    <row r="34" spans="2:12" ht="15" customHeight="1" x14ac:dyDescent="0.35">
      <c r="D34" s="119" t="s">
        <v>122</v>
      </c>
      <c r="E34" s="131"/>
      <c r="F34" s="116"/>
      <c r="G34" s="116"/>
      <c r="H34" s="116"/>
      <c r="I34" s="131"/>
      <c r="J34" s="131"/>
      <c r="K34" s="131"/>
      <c r="L34" s="131"/>
    </row>
    <row r="35" spans="2:12" ht="15" customHeight="1" x14ac:dyDescent="0.35">
      <c r="D35" s="119" t="s">
        <v>121</v>
      </c>
      <c r="E35" s="131"/>
      <c r="F35" s="116"/>
      <c r="G35" s="116"/>
      <c r="H35" s="116"/>
      <c r="I35" s="131"/>
      <c r="J35" s="131"/>
      <c r="K35" s="131"/>
      <c r="L35" s="131"/>
    </row>
    <row r="36" spans="2:12" ht="10" customHeight="1" x14ac:dyDescent="0.35">
      <c r="D36" s="120"/>
      <c r="E36" s="131"/>
      <c r="F36" s="116"/>
      <c r="G36" s="116"/>
      <c r="H36" s="116"/>
      <c r="I36" s="131"/>
      <c r="J36" s="131"/>
      <c r="K36" s="131"/>
      <c r="L36" s="131"/>
    </row>
    <row r="37" spans="2:12" ht="15" customHeight="1" x14ac:dyDescent="0.35">
      <c r="D37" s="120" t="s">
        <v>123</v>
      </c>
      <c r="E37" s="131"/>
      <c r="F37" s="116"/>
      <c r="G37" s="116"/>
      <c r="H37" s="116"/>
      <c r="I37" s="131"/>
      <c r="J37" s="131"/>
      <c r="K37" s="131"/>
      <c r="L37" s="131"/>
    </row>
    <row r="38" spans="2:12" ht="15" customHeight="1" x14ac:dyDescent="0.35">
      <c r="D38" s="120" t="s">
        <v>124</v>
      </c>
      <c r="E38" s="131"/>
      <c r="F38" s="116"/>
      <c r="G38" s="116"/>
      <c r="H38" s="116"/>
      <c r="I38" s="131"/>
      <c r="J38" s="131"/>
      <c r="K38" s="131"/>
      <c r="L38" s="131"/>
    </row>
    <row r="39" spans="2:12" ht="15" customHeight="1" x14ac:dyDescent="0.35">
      <c r="D39" s="120" t="s">
        <v>125</v>
      </c>
      <c r="E39" s="131"/>
      <c r="F39" s="116"/>
      <c r="G39" s="116"/>
      <c r="H39" s="116"/>
      <c r="I39" s="131"/>
      <c r="J39" s="131"/>
      <c r="K39" s="131"/>
      <c r="L39" s="131"/>
    </row>
    <row r="40" spans="2:12" ht="15" customHeight="1" x14ac:dyDescent="0.35">
      <c r="D40" s="120" t="s">
        <v>126</v>
      </c>
      <c r="E40" s="131"/>
      <c r="F40" s="116"/>
      <c r="G40" s="116"/>
      <c r="H40" s="116"/>
      <c r="I40" s="131"/>
      <c r="J40" s="131"/>
      <c r="K40" s="131"/>
      <c r="L40" s="131"/>
    </row>
    <row r="41" spans="2:12" ht="10" customHeight="1" x14ac:dyDescent="0.35">
      <c r="D41" s="131"/>
      <c r="E41" s="131"/>
      <c r="F41" s="131"/>
      <c r="G41" s="131"/>
      <c r="H41" s="131"/>
      <c r="I41" s="131"/>
      <c r="J41" s="131"/>
      <c r="K41" s="131"/>
      <c r="L41" s="131"/>
    </row>
    <row r="42" spans="2:12" ht="15" customHeight="1" x14ac:dyDescent="0.35">
      <c r="D42" s="169" t="s">
        <v>103</v>
      </c>
      <c r="E42" s="169"/>
      <c r="F42" s="169"/>
      <c r="G42" s="169"/>
      <c r="H42" s="169"/>
      <c r="I42" s="169"/>
      <c r="J42" s="123"/>
      <c r="K42" s="131"/>
      <c r="L42" s="131"/>
    </row>
    <row r="43" spans="2:12" ht="15" customHeight="1" x14ac:dyDescent="0.35">
      <c r="D43" s="121"/>
      <c r="E43" s="121"/>
      <c r="F43" s="121"/>
      <c r="G43" s="121"/>
      <c r="H43" s="121"/>
      <c r="I43" s="121"/>
      <c r="J43" s="121"/>
      <c r="K43" s="131"/>
      <c r="L43" s="131"/>
    </row>
    <row r="44" spans="2:12" ht="15" customHeight="1" x14ac:dyDescent="0.35">
      <c r="D44" s="131"/>
      <c r="E44" s="131"/>
      <c r="F44" s="131"/>
      <c r="G44" s="131"/>
      <c r="H44" s="131"/>
      <c r="I44" s="131"/>
      <c r="J44" s="131"/>
      <c r="K44" s="131"/>
      <c r="L44" s="131"/>
    </row>
    <row r="45" spans="2:12" ht="15" customHeight="1" x14ac:dyDescent="0.35">
      <c r="D45" s="144" t="s">
        <v>142</v>
      </c>
      <c r="E45" s="143"/>
      <c r="F45" s="143"/>
      <c r="G45" s="143"/>
      <c r="H45" s="143"/>
      <c r="J45" s="131"/>
      <c r="K45" s="131"/>
      <c r="L45" s="131"/>
    </row>
    <row r="46" spans="2:12" ht="10" customHeight="1" x14ac:dyDescent="0.3">
      <c r="D46" s="124"/>
      <c r="E46" s="124"/>
      <c r="F46" s="121"/>
      <c r="G46" s="121"/>
      <c r="H46" s="121"/>
      <c r="J46" s="121"/>
      <c r="K46" s="121"/>
      <c r="L46" s="121"/>
    </row>
    <row r="47" spans="2:12" ht="15" customHeight="1" x14ac:dyDescent="0.35">
      <c r="D47" s="125" t="s">
        <v>143</v>
      </c>
      <c r="E47" s="126"/>
      <c r="F47" s="131"/>
      <c r="G47" s="131"/>
      <c r="H47" s="131"/>
      <c r="J47" s="131"/>
      <c r="K47" s="131"/>
      <c r="L47" s="131"/>
    </row>
    <row r="48" spans="2:12" ht="15" customHeight="1" x14ac:dyDescent="0.35">
      <c r="D48" s="125" t="s">
        <v>144</v>
      </c>
      <c r="E48" s="126"/>
      <c r="F48" s="116"/>
      <c r="G48" s="116"/>
      <c r="H48" s="116"/>
      <c r="J48" s="131"/>
      <c r="K48" s="131"/>
      <c r="L48" s="131"/>
    </row>
    <row r="49" spans="4:12" ht="10" customHeight="1" x14ac:dyDescent="0.35">
      <c r="D49" s="127"/>
      <c r="E49" s="128"/>
      <c r="F49" s="116"/>
      <c r="G49" s="116"/>
      <c r="H49" s="116"/>
      <c r="J49" s="131"/>
      <c r="K49" s="131"/>
      <c r="L49" s="131"/>
    </row>
    <row r="50" spans="4:12" ht="15" customHeight="1" x14ac:dyDescent="0.35">
      <c r="D50" s="120" t="s">
        <v>145</v>
      </c>
      <c r="E50" s="129"/>
      <c r="F50" s="116"/>
      <c r="G50" s="116"/>
      <c r="H50" s="116"/>
      <c r="J50" s="131"/>
      <c r="K50" s="131"/>
      <c r="L50" s="131"/>
    </row>
    <row r="51" spans="4:12" ht="15" customHeight="1" x14ac:dyDescent="0.35">
      <c r="D51" s="120" t="s">
        <v>146</v>
      </c>
      <c r="E51" s="129"/>
      <c r="F51" s="116"/>
      <c r="G51" s="116"/>
      <c r="H51" s="116"/>
      <c r="J51" s="131"/>
      <c r="K51" s="131"/>
      <c r="L51" s="131"/>
    </row>
    <row r="52" spans="4:12" ht="15" customHeight="1" x14ac:dyDescent="0.35">
      <c r="D52" s="120" t="s">
        <v>147</v>
      </c>
      <c r="E52" s="129"/>
      <c r="F52" s="116"/>
      <c r="G52" s="116"/>
      <c r="H52" s="116"/>
      <c r="J52" s="131"/>
      <c r="K52" s="131"/>
      <c r="L52" s="131"/>
    </row>
    <row r="53" spans="4:12" ht="15" customHeight="1" x14ac:dyDescent="0.35">
      <c r="D53" s="120" t="s">
        <v>148</v>
      </c>
      <c r="E53" s="129"/>
      <c r="F53" s="116"/>
      <c r="G53" s="116"/>
      <c r="H53" s="116"/>
      <c r="J53" s="131"/>
      <c r="K53" s="131"/>
      <c r="L53" s="131"/>
    </row>
    <row r="54" spans="4:12" ht="10" customHeight="1" x14ac:dyDescent="0.35">
      <c r="D54" s="120"/>
      <c r="E54" s="170"/>
      <c r="F54" s="116"/>
      <c r="G54" s="116"/>
      <c r="H54" s="116"/>
      <c r="J54" s="131"/>
      <c r="K54" s="131"/>
      <c r="L54" s="131"/>
    </row>
    <row r="55" spans="4:12" ht="15" customHeight="1" x14ac:dyDescent="0.35">
      <c r="D55" s="171" t="s">
        <v>149</v>
      </c>
      <c r="E55" s="172"/>
      <c r="F55" s="172"/>
      <c r="G55" s="172"/>
      <c r="H55" s="172"/>
      <c r="J55" s="131"/>
      <c r="K55" s="131"/>
      <c r="L55" s="131"/>
    </row>
    <row r="56" spans="4:12" ht="15" customHeight="1" x14ac:dyDescent="0.35">
      <c r="E56" s="131"/>
      <c r="F56" s="130"/>
      <c r="G56" s="130"/>
      <c r="H56" s="130"/>
      <c r="I56" s="130"/>
      <c r="J56" s="130"/>
      <c r="K56" s="130"/>
      <c r="L56" s="130"/>
    </row>
    <row r="57" spans="4:12" ht="15" hidden="1" customHeight="1" x14ac:dyDescent="0.35">
      <c r="E57" s="131"/>
      <c r="F57" s="121"/>
      <c r="G57" s="121"/>
      <c r="H57" s="121"/>
      <c r="I57" s="121"/>
      <c r="J57" s="121"/>
      <c r="K57" s="121"/>
      <c r="L57" s="121"/>
    </row>
    <row r="58" spans="4:12" ht="15" hidden="1" customHeight="1" x14ac:dyDescent="0.35">
      <c r="E58" s="131"/>
      <c r="F58" s="131"/>
      <c r="G58" s="131"/>
      <c r="H58" s="131"/>
      <c r="I58" s="131"/>
      <c r="J58" s="131"/>
      <c r="K58" s="131"/>
      <c r="L58" s="131"/>
    </row>
    <row r="59" spans="4:12" ht="15" hidden="1" customHeight="1" x14ac:dyDescent="0.35">
      <c r="E59" s="131"/>
      <c r="F59" s="131"/>
      <c r="G59" s="131"/>
      <c r="H59" s="131"/>
      <c r="I59" s="131"/>
      <c r="J59" s="131"/>
      <c r="K59" s="131"/>
      <c r="L59" s="131"/>
    </row>
    <row r="60" spans="4:12" ht="15" hidden="1" customHeight="1" x14ac:dyDescent="0.35">
      <c r="E60" s="131"/>
      <c r="F60" s="131"/>
      <c r="G60" s="131"/>
      <c r="H60" s="131"/>
      <c r="I60" s="131"/>
      <c r="J60" s="131"/>
      <c r="K60" s="131"/>
      <c r="L60" s="131"/>
    </row>
    <row r="61" spans="4:12" ht="15" hidden="1" customHeight="1" x14ac:dyDescent="0.35">
      <c r="E61" s="131"/>
      <c r="F61" s="131"/>
      <c r="G61" s="131"/>
      <c r="H61" s="131"/>
      <c r="I61" s="131"/>
      <c r="J61" s="131"/>
      <c r="K61" s="131"/>
      <c r="L61" s="131"/>
    </row>
    <row r="62" spans="4:12" ht="15" hidden="1" customHeight="1" x14ac:dyDescent="0.35">
      <c r="E62" s="131"/>
      <c r="F62" s="131"/>
      <c r="G62" s="131"/>
      <c r="H62" s="131"/>
      <c r="I62" s="131"/>
      <c r="J62" s="131"/>
      <c r="K62" s="131"/>
      <c r="L62" s="131"/>
    </row>
    <row r="63" spans="4:12" ht="15" hidden="1" customHeight="1" x14ac:dyDescent="0.35">
      <c r="E63" s="131"/>
      <c r="F63" s="131"/>
      <c r="G63" s="131"/>
      <c r="H63" s="131"/>
      <c r="I63" s="131"/>
      <c r="J63" s="131"/>
      <c r="K63" s="131"/>
      <c r="L63" s="131"/>
    </row>
    <row r="64" spans="4:12" ht="15" hidden="1" customHeight="1" x14ac:dyDescent="0.3"/>
    <row r="65" ht="15" hidden="1" customHeight="1" x14ac:dyDescent="0.3"/>
    <row r="66" ht="15" hidden="1" customHeight="1" x14ac:dyDescent="0.3"/>
    <row r="67" ht="0" hidden="1" customHeight="1" x14ac:dyDescent="0.3"/>
    <row r="74" ht="0" hidden="1" customHeight="1" x14ac:dyDescent="0.3"/>
  </sheetData>
  <mergeCells count="9">
    <mergeCell ref="D6:J6"/>
    <mergeCell ref="D16:J16"/>
    <mergeCell ref="D19:J19"/>
    <mergeCell ref="D29:J29"/>
    <mergeCell ref="D55:H55"/>
    <mergeCell ref="B3:I4"/>
    <mergeCell ref="B1:I1"/>
    <mergeCell ref="D32:I32"/>
    <mergeCell ref="D42:I42"/>
  </mergeCells>
  <hyperlinks>
    <hyperlink ref="D16:J16" r:id="rId1" display="📝 Acesse gratuitamente o template da Matriz Nine Box" xr:uid="{A830363C-C0DE-45D3-B08E-9A7539F7B542}"/>
    <hyperlink ref="D29:J29" r:id="rId2" display="📝 Acesse agora o Controle de ASO!" xr:uid="{0A9D5E6F-34CC-456D-B9A5-C19AF6B03F70}"/>
    <hyperlink ref="D42:I42" r:id="rId3" display="📝 Pegue agora mesmo o seu guia gratuito!" xr:uid="{540E3398-64C2-462D-96C4-182F3B3D0395}"/>
    <hyperlink ref="D55" r:id="rId4" display="Acesse o Conven.IA gratuitamente e sempre que precisar!" xr:uid="{1202D372-2B35-4940-BD0B-8654B57128A2}"/>
  </hyperlinks>
  <pageMargins left="0.51180555555555496" right="0.51180555555555496" top="0.78749999999999998" bottom="0.78749999999999998" header="0" footer="0"/>
  <pageSetup orientation="landscape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Instruções</vt:lpstr>
      <vt:lpstr>Base de dados</vt:lpstr>
      <vt:lpstr>Visão geral</vt:lpstr>
      <vt:lpstr>Indicadores</vt:lpstr>
      <vt:lpstr>Materiais relevantes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Lopes Lopes</dc:creator>
  <cp:lastModifiedBy>Maira Stanganelli</cp:lastModifiedBy>
  <dcterms:created xsi:type="dcterms:W3CDTF">2021-02-16T20:15:19Z</dcterms:created>
  <dcterms:modified xsi:type="dcterms:W3CDTF">2025-08-27T20:06:28Z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0x01010032122838B3401F4BBB789EC2161C9057</vt:lpwstr>
  </property>
</Properties>
</file>