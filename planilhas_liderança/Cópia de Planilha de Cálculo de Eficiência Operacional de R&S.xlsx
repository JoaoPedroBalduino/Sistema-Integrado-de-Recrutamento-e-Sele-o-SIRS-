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nstruções" sheetId="1" r:id="rId5"/>
    <sheet state="visible" name="2. Cálculo de eficiência operac" sheetId="2" r:id="rId6"/>
    <sheet state="visible" name="3. Impulsione o seu RH com a Gu" sheetId="3" r:id="rId7"/>
    <sheet state="hidden" name=".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">
      <text>
        <t xml:space="preserve">Memória de cálculo:
Número de recrutadores * Tempo que cada recrutador leva para triar todos os currículos * Valor pago por hora aos recrutadores (+ custos extras)</t>
      </text>
    </comment>
    <comment authorId="0" ref="B7">
      <text>
        <t xml:space="preserve">Memória de cálculo:
Média de vagas abertas * Tempo para analisar cada currículo * Média de currículos recebidos por vaga</t>
      </text>
    </comment>
  </commentList>
</comments>
</file>

<file path=xl/sharedStrings.xml><?xml version="1.0" encoding="utf-8"?>
<sst xmlns="http://schemas.openxmlformats.org/spreadsheetml/2006/main" count="60" uniqueCount="51">
  <si>
    <t>Desempenho referência! Possui ótimo conhecimento técnico e teórico, e está muito alinhado culturalmente.</t>
  </si>
  <si>
    <t>Acima da média. Com o esforço correto a performance pode ser aprimorada e uma conversa sobre promoção deve acontecer em breve.</t>
  </si>
  <si>
    <t>Na média, mas é preciso melhorar. É recomendável uma estruturação de PDI.</t>
  </si>
  <si>
    <t>Desempenho abaixo do esperado. Ações de desenvolvimento profissional são necessárias e urgentes.</t>
  </si>
  <si>
    <t>Precisa melhorar</t>
  </si>
  <si>
    <t>Está razoável</t>
  </si>
  <si>
    <t>Excede às expectativas</t>
  </si>
  <si>
    <t>É referência</t>
  </si>
  <si>
    <t>Oi. Você encontrou a aba oculta que serve como pequena fonte de dados que alimenta a sua planilha. Por favor, não apage esta aba e só a altere caso necessário.</t>
  </si>
  <si>
    <t>Conheça o ecossistema de produtos para RH da Gupy</t>
  </si>
  <si>
    <t>INSTRUÇÕES</t>
  </si>
  <si>
    <r>
      <rPr>
        <b/>
        <color theme="0"/>
        <sz val="12.0"/>
        <u/>
      </rPr>
      <t>Conheça o ecossistema para RH da Gupy</t>
    </r>
    <r>
      <rPr>
        <b/>
        <color theme="0"/>
        <sz val="12.0"/>
      </rPr>
      <t xml:space="preserve"> →</t>
    </r>
  </si>
  <si>
    <t>Tempo total em horas</t>
  </si>
  <si>
    <r>
      <rPr>
        <rFont val="Inter"/>
        <color theme="1"/>
        <sz val="11.0"/>
      </rPr>
      <t xml:space="preserve">Na Gupy, você encontra um </t>
    </r>
    <r>
      <rPr>
        <rFont val="Inter"/>
        <color rgb="FF1666DB"/>
        <sz val="11.0"/>
      </rPr>
      <t>ecossistema completo de soluções para o seu time de RH.</t>
    </r>
    <r>
      <rPr>
        <rFont val="Inter"/>
        <color theme="1"/>
        <sz val="11.0"/>
      </rPr>
      <t xml:space="preserve">
 Do recrutamento à admissão de pessoas colaboradoras, até a retenção, treinamento, desenvolvimento e engajamento desses talentos.
Com o ecossistema da Gupy, </t>
    </r>
    <r>
      <rPr>
        <rFont val="Inter"/>
        <color rgb="FF1666DB"/>
        <sz val="11.0"/>
      </rPr>
      <t>o RH pode deixar de lado as planilhas, a papelada e a burocracia,</t>
    </r>
    <r>
      <rPr>
        <rFont val="Inter"/>
        <color theme="1"/>
        <sz val="11.0"/>
      </rPr>
      <t xml:space="preserve"> 
automatizando processos, usando a Inteligência Artificial ao seu favor e focando seu tempo para trabalhar de forma mais estratégica, impactando toda a organização.
Clique no botão abaixo para entender como a Gupy pode levar a </t>
    </r>
    <r>
      <rPr>
        <rFont val="Inter"/>
        <color rgb="FF1666DB"/>
        <sz val="11.0"/>
      </rPr>
      <t>transformação digital da sua empresa para o próximo nível</t>
    </r>
    <r>
      <rPr>
        <rFont val="Inter"/>
        <color theme="1"/>
        <sz val="11.0"/>
      </rPr>
      <t>:</t>
    </r>
  </si>
  <si>
    <r>
      <rPr>
        <rFont val="Inter"/>
        <b/>
        <color rgb="FFFFFFFF"/>
        <sz val="12.0"/>
      </rPr>
      <t>1.</t>
    </r>
    <r>
      <rPr>
        <rFont val="Inter"/>
        <b val="0"/>
        <color rgb="FFFFFFFF"/>
        <sz val="12.0"/>
      </rPr>
      <t xml:space="preserve"> A PLANILHA</t>
    </r>
  </si>
  <si>
    <r>
      <rPr>
        <rFont val="Inter"/>
        <b/>
        <color theme="1"/>
        <sz val="10.0"/>
      </rPr>
      <t xml:space="preserve">Boas-vindas à Planilha de Cálculo de Eficiência 
Operacional de Recrutamento e Seleção!
</t>
    </r>
    <r>
      <rPr>
        <rFont val="Inter"/>
        <color theme="1"/>
        <sz val="10.0"/>
      </rPr>
      <t xml:space="preserve">
Esta planilha fornece uma</t>
    </r>
    <r>
      <rPr>
        <rFont val="Inter"/>
        <b/>
        <color theme="1"/>
        <sz val="10.0"/>
      </rPr>
      <t xml:space="preserve"> visão da eficiência do Recrutamento e Seleção da sua empresa</t>
    </r>
    <r>
      <rPr>
        <rFont val="Inter"/>
        <color theme="1"/>
        <sz val="10.0"/>
      </rPr>
      <t xml:space="preserve"> com base em dados simples. Tenha em mente que o resultado final não necessariamente reflete com precisão a realidade, podendo ter margem de erro conforme variáveis de negócio existentes em todas as empresas.</t>
    </r>
  </si>
  <si>
    <r>
      <rPr>
        <rFont val="Inter"/>
        <b/>
        <color rgb="FFFFFFFF"/>
        <sz val="18.0"/>
        <u/>
      </rPr>
      <t xml:space="preserve"> → </t>
    </r>
    <r>
      <rPr>
        <rFont val="Inter"/>
        <b/>
        <color rgb="FFFFFFFF"/>
        <sz val="18.0"/>
        <u/>
      </rPr>
      <t>Quero conhecer a Gupy</t>
    </r>
    <r>
      <rPr>
        <rFont val="Inter"/>
        <b/>
        <color rgb="FFFFFFFF"/>
        <sz val="18.0"/>
        <u/>
      </rPr>
      <t xml:space="preserve"> ←</t>
    </r>
  </si>
  <si>
    <t>Confira outros materiais que vão ajudar a otimizar processos do seu RH:</t>
  </si>
  <si>
    <t>Número total de recrutadores</t>
  </si>
  <si>
    <r>
      <rPr>
        <rFont val="Inter"/>
        <b/>
        <color rgb="FFFFFFFF"/>
        <sz val="12.0"/>
      </rPr>
      <t>2.</t>
    </r>
    <r>
      <rPr>
        <rFont val="Inter"/>
        <b val="0"/>
        <color rgb="FFFFFFFF"/>
        <sz val="12.0"/>
      </rPr>
      <t xml:space="preserve"> INSTRUÇÕES</t>
    </r>
  </si>
  <si>
    <r>
      <rPr>
        <rFont val="Inter"/>
        <color theme="1"/>
        <sz val="10.0"/>
      </rPr>
      <t xml:space="preserve">Na </t>
    </r>
    <r>
      <rPr>
        <rFont val="Inter"/>
        <b/>
        <color theme="1"/>
        <sz val="10.0"/>
      </rPr>
      <t>segunda aba</t>
    </r>
    <r>
      <rPr>
        <rFont val="Inter"/>
        <color theme="1"/>
        <sz val="10.0"/>
      </rPr>
      <t xml:space="preserve">, você poderá calcular a eficiência operacional do R&amp;S da sua empresa, que nada mais é do que a capacidade produtiva do seu Recrutamento e Seleção. O cálculo funciona da seguinte maneira: 
</t>
    </r>
    <r>
      <rPr>
        <rFont val="Inter"/>
        <b/>
        <color theme="1"/>
        <sz val="10.0"/>
      </rPr>
      <t xml:space="preserve">1) </t>
    </r>
    <r>
      <rPr>
        <rFont val="Inter"/>
        <color theme="1"/>
        <sz val="10.0"/>
      </rPr>
      <t>Preencha apenas os</t>
    </r>
    <r>
      <rPr>
        <rFont val="Inter"/>
        <b/>
        <color rgb="FF666666"/>
        <sz val="10.0"/>
      </rPr>
      <t xml:space="preserve"> </t>
    </r>
    <r>
      <rPr>
        <rFont val="Inter"/>
        <b/>
        <color rgb="FF999999"/>
        <sz val="10.0"/>
      </rPr>
      <t>campos em cinza</t>
    </r>
    <r>
      <rPr>
        <rFont val="Inter"/>
        <color theme="1"/>
        <sz val="10.0"/>
      </rPr>
      <t xml:space="preserve">; 
</t>
    </r>
    <r>
      <rPr>
        <rFont val="Inter"/>
        <b/>
        <color theme="1"/>
        <sz val="10.0"/>
      </rPr>
      <t>2)</t>
    </r>
    <r>
      <rPr>
        <rFont val="Inter"/>
        <color theme="1"/>
        <sz val="10.0"/>
      </rPr>
      <t xml:space="preserve"> Os </t>
    </r>
    <r>
      <rPr>
        <rFont val="Inter"/>
        <b/>
        <color rgb="FF1666DB"/>
        <sz val="10.0"/>
      </rPr>
      <t>campos em azul</t>
    </r>
    <r>
      <rPr>
        <rFont val="Inter"/>
        <color theme="1"/>
        <sz val="10.0"/>
      </rPr>
      <t xml:space="preserve"> são os resultados, ou seja, a eficiência operacional da sua empresa em termos de R&amp;S;
</t>
    </r>
    <r>
      <rPr>
        <rFont val="Inter"/>
        <b/>
        <color theme="1"/>
        <sz val="10.0"/>
      </rPr>
      <t xml:space="preserve">3) </t>
    </r>
    <r>
      <rPr>
        <rFont val="Inter"/>
        <b/>
        <color rgb="FFD64C15"/>
        <sz val="10.0"/>
      </rPr>
      <t>Em laranja</t>
    </r>
    <r>
      <rPr>
        <rFont val="Inter"/>
        <color theme="1"/>
        <sz val="10.0"/>
      </rPr>
      <t xml:space="preserve">, está o quanto você pode aprimorar a sua eficiência operacional com a </t>
    </r>
    <r>
      <rPr>
        <rFont val="Inter"/>
        <b/>
        <color theme="1"/>
        <sz val="10.0"/>
      </rPr>
      <t>Gupy</t>
    </r>
    <r>
      <rPr>
        <rFont val="Inter"/>
        <color theme="1"/>
        <sz val="10.0"/>
      </rPr>
      <t>.</t>
    </r>
  </si>
  <si>
    <t>Média de vagas abertas por mês</t>
  </si>
  <si>
    <t>Tempo para analisar um currículo</t>
  </si>
  <si>
    <r>
      <rPr>
        <rFont val="Inter"/>
        <b/>
        <color rgb="FFFFFFFF"/>
        <sz val="12.0"/>
      </rPr>
      <t>3.</t>
    </r>
    <r>
      <rPr>
        <rFont val="Inter"/>
        <b val="0"/>
        <color rgb="FFFFFFFF"/>
        <sz val="12.0"/>
      </rPr>
      <t xml:space="preserve"> IMPULSIONE O SEU RH COM A GUPY</t>
    </r>
  </si>
  <si>
    <r>
      <rPr>
        <rFont val="Inter"/>
        <b val="0"/>
        <color theme="1"/>
        <sz val="10.0"/>
      </rPr>
      <t>Confira como</t>
    </r>
    <r>
      <rPr>
        <rFont val="Inter"/>
        <b/>
        <color theme="1"/>
        <sz val="10.0"/>
      </rPr>
      <t xml:space="preserve"> a Gupy pode trazer a transformação digital para a sua empresa </t>
    </r>
    <r>
      <rPr>
        <rFont val="Inter"/>
        <b val="0"/>
        <color theme="1"/>
        <sz val="10.0"/>
      </rPr>
      <t>e confira outros</t>
    </r>
    <r>
      <rPr>
        <rFont val="Inter"/>
        <b/>
        <color theme="1"/>
        <sz val="10.0"/>
      </rPr>
      <t xml:space="preserve"> conteúdos gratuitos </t>
    </r>
    <r>
      <rPr>
        <rFont val="Inter"/>
        <b val="0"/>
        <color theme="1"/>
        <sz val="10.0"/>
      </rPr>
      <t>para ajudar o RH da sua organização.</t>
    </r>
  </si>
  <si>
    <t>Média de currículos recebidos por vaga</t>
  </si>
  <si>
    <t>Salário médio dos recrutadores</t>
  </si>
  <si>
    <r>
      <rPr>
        <rFont val="Inter"/>
        <b/>
        <color theme="1"/>
      </rPr>
      <t>Custos extras</t>
    </r>
    <r>
      <rPr>
        <rFont val="Inter"/>
        <b/>
        <color theme="1"/>
        <sz val="8.0"/>
      </rPr>
      <t xml:space="preserve"> </t>
    </r>
    <r>
      <rPr>
        <rFont val="Inter"/>
        <b val="0"/>
        <color theme="1"/>
        <sz val="8.0"/>
      </rPr>
      <t>(ferramentas, parceiros etc.)</t>
    </r>
  </si>
  <si>
    <t>Acesse o material →</t>
  </si>
  <si>
    <t>*Importante: essa planilha contém fórmulas que, se alteradas, afetarão seu funcionamento</t>
  </si>
  <si>
    <t>minutos por currículo</t>
  </si>
  <si>
    <t>tempo total</t>
  </si>
  <si>
    <t>-&gt;</t>
  </si>
  <si>
    <t>Minutos</t>
  </si>
  <si>
    <t xml:space="preserve">Custo discriminado </t>
  </si>
  <si>
    <t>tempo por recrutador</t>
  </si>
  <si>
    <t>horas</t>
  </si>
  <si>
    <t>dia</t>
  </si>
  <si>
    <t>hora</t>
  </si>
  <si>
    <t>min</t>
  </si>
  <si>
    <t>Tempo que cada recrutador perde na triagem de currículos</t>
  </si>
  <si>
    <t>Valor gasto no recrutamento atualmente</t>
  </si>
  <si>
    <t>min'</t>
  </si>
  <si>
    <t>EFICIÊNCIA OPERACIONAL</t>
  </si>
  <si>
    <t>RECRUTAMENTO E SELEÇÃO COM A GUPY!</t>
  </si>
  <si>
    <t>VOCÊ PODE ECONOMIZAR ATÉ</t>
  </si>
  <si>
    <t>CADA RECRUTADOR PODE ECONOMIZAR ATÉ</t>
  </si>
  <si>
    <t>reais</t>
  </si>
  <si>
    <t>NO SEU PROCESSO DE RECRUTAMENTO E SELEÇÃO</t>
  </si>
  <si>
    <t>NA TRIAGEM DE CURRÍCULOS</t>
  </si>
  <si>
    <t>Agende uma demonstração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</si>
</sst>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"/>
  </numFmts>
  <fonts count="41">
    <font>
      <sz val="10.0"/>
      <color rgb="FF000000"/>
      <name val="Arial"/>
      <scheme val="minor"/>
    </font>
    <font>
      <b/>
      <sz val="14.0"/>
      <color rgb="FFFFFFFF"/>
      <name val="Spectral"/>
    </font>
    <font>
      <color theme="1"/>
      <name val="Roboto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color theme="1"/>
      <name val="Inter"/>
    </font>
    <font>
      <color theme="1"/>
      <name val="Inter"/>
    </font>
    <font>
      <color rgb="FF000000"/>
      <name val="Roboto"/>
    </font>
    <font>
      <b/>
      <sz val="20.0"/>
      <color rgb="FFFFFFFF"/>
      <name val="Inter"/>
    </font>
    <font/>
    <font>
      <color theme="1"/>
      <name val="Arial"/>
      <scheme val="minor"/>
    </font>
    <font>
      <b/>
      <sz val="14.0"/>
      <color theme="0"/>
      <name val="Inter"/>
    </font>
    <font>
      <sz val="9.0"/>
      <color rgb="FF1155CC"/>
      <name val="Inconsolata"/>
    </font>
    <font>
      <sz val="9.0"/>
      <color rgb="FFFFFFFF"/>
      <name val="Inter"/>
    </font>
    <font>
      <b/>
      <sz val="12.0"/>
      <color theme="0"/>
    </font>
    <font>
      <sz val="11.0"/>
      <color theme="1"/>
      <name val="Inter"/>
    </font>
    <font>
      <b/>
      <sz val="12.0"/>
      <color rgb="FFFFFFFF"/>
      <name val="Inter"/>
    </font>
    <font>
      <b/>
      <u/>
      <sz val="18.0"/>
      <color theme="0"/>
      <name val="Inter"/>
    </font>
    <font>
      <sz val="10.0"/>
      <color theme="1"/>
      <name val="Inter"/>
    </font>
    <font>
      <b/>
      <sz val="18.0"/>
      <color rgb="FFFFFFFF"/>
      <name val="Inter"/>
    </font>
    <font>
      <u/>
      <color rgb="FF1155CC"/>
      <name val="Arial"/>
      <scheme val="minor"/>
    </font>
    <font>
      <u/>
      <color rgb="FF1155CC"/>
      <name val="Arial"/>
      <scheme val="minor"/>
    </font>
    <font>
      <color rgb="FF1666DB"/>
      <name val="Roboto"/>
    </font>
    <font>
      <b/>
      <sz val="10.0"/>
      <color theme="1"/>
      <name val="Inter"/>
    </font>
    <font>
      <b/>
      <sz val="10.0"/>
      <color rgb="FFFFFFFF"/>
      <name val="Spectral"/>
    </font>
    <font>
      <b/>
      <u/>
      <sz val="18.0"/>
      <color rgb="FF1666DB"/>
      <name val="Roboto"/>
    </font>
    <font>
      <sz val="9.0"/>
      <color theme="1"/>
      <name val="Inter"/>
    </font>
    <font>
      <u/>
      <color rgb="FF1155CC"/>
      <name val="Arial"/>
      <scheme val="minor"/>
    </font>
    <font>
      <u/>
      <color rgb="FF1155CC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theme="0"/>
      <name val="Inter"/>
    </font>
    <font>
      <b/>
      <sz val="18.0"/>
      <color theme="1"/>
      <name val="Inter"/>
    </font>
    <font>
      <b/>
      <sz val="14.0"/>
      <color theme="1"/>
      <name val="Inter"/>
    </font>
    <font>
      <b/>
      <sz val="12.0"/>
      <color theme="0"/>
      <name val="Inter"/>
    </font>
    <font>
      <b/>
      <sz val="12.0"/>
      <color theme="1"/>
      <name val="Inter"/>
    </font>
    <font>
      <b/>
      <color rgb="FFFFFFFF"/>
      <name val="Inter"/>
    </font>
    <font>
      <b/>
      <sz val="20.0"/>
      <color rgb="FF010B21"/>
      <name val="Inter"/>
    </font>
    <font>
      <b/>
      <sz val="12.0"/>
      <color rgb="FF010B21"/>
      <name val="Inter"/>
    </font>
    <font>
      <b/>
      <u/>
      <color rgb="FFFFFFFF"/>
      <name val="Inter"/>
    </font>
    <font>
      <b/>
      <u/>
      <color rgb="FF1155CC"/>
      <name val="Inter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10B21"/>
        <bgColor rgb="FF010B21"/>
      </patternFill>
    </fill>
    <fill>
      <patternFill patternType="solid">
        <fgColor rgb="FF1666DB"/>
        <bgColor rgb="FF1666DB"/>
      </patternFill>
    </fill>
    <fill>
      <patternFill patternType="solid">
        <fgColor rgb="FFEFEFEF"/>
        <bgColor rgb="FFEFEFEF"/>
      </patternFill>
    </fill>
    <fill>
      <patternFill patternType="solid">
        <fgColor rgb="FFD64C15"/>
        <bgColor rgb="FFD64C15"/>
      </patternFill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2E1F7"/>
        <bgColor rgb="FFD2E1F7"/>
      </patternFill>
    </fill>
    <fill>
      <patternFill patternType="solid">
        <fgColor rgb="FFF9BFA7"/>
        <bgColor rgb="FFF9BFA7"/>
      </patternFill>
    </fill>
    <fill>
      <patternFill patternType="solid">
        <fgColor theme="4"/>
        <bgColor theme="4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13335F"/>
      </top>
    </border>
    <border>
      <right style="thin">
        <color rgb="FFFFFFFF"/>
      </right>
      <top style="thin">
        <color rgb="FF13335F"/>
      </top>
    </border>
    <border>
      <bottom style="thin">
        <color rgb="FF13335F"/>
      </bottom>
    </border>
    <border>
      <right style="thin">
        <color rgb="FFFFFFFF"/>
      </right>
      <bottom style="thin">
        <color rgb="FF13335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bottom style="thin">
        <color rgb="FFC9DAF8"/>
      </bottom>
    </border>
    <border>
      <right style="thin">
        <color rgb="FFFFFFFF"/>
      </right>
      <bottom style="thin">
        <color rgb="FFC9DAF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vertical="center"/>
    </xf>
    <xf borderId="1" fillId="2" fontId="3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3" fillId="0" fontId="6" numFmtId="0" xfId="0" applyBorder="1" applyFont="1"/>
    <xf borderId="1" fillId="2" fontId="2" numFmtId="0" xfId="0" applyAlignment="1" applyBorder="1" applyFill="1" applyFont="1">
      <alignment readingOrder="0" vertical="center"/>
    </xf>
    <xf borderId="4" fillId="2" fontId="1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5" fillId="4" fontId="8" numFmtId="0" xfId="0" applyAlignment="1" applyBorder="1" applyFill="1" applyFont="1">
      <alignment horizontal="center" readingOrder="0" shrinkToFit="0" vertical="center" wrapText="1"/>
    </xf>
    <xf borderId="5" fillId="0" fontId="9" numFmtId="0" xfId="0" applyBorder="1" applyFont="1"/>
    <xf borderId="0" fillId="4" fontId="10" numFmtId="0" xfId="0" applyAlignment="1" applyFill="1" applyFont="1">
      <alignment horizontal="center"/>
    </xf>
    <xf borderId="1" fillId="0" fontId="6" numFmtId="0" xfId="0" applyBorder="1" applyFont="1"/>
    <xf borderId="1" fillId="0" fontId="10" numFmtId="0" xfId="0" applyBorder="1" applyFont="1"/>
    <xf borderId="3" fillId="0" fontId="10" numFmtId="0" xfId="0" applyBorder="1" applyFont="1"/>
    <xf borderId="3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6" fillId="0" fontId="9" numFmtId="0" xfId="0" applyBorder="1" applyFont="1"/>
    <xf borderId="0" fillId="4" fontId="11" numFmtId="0" xfId="0" applyAlignment="1" applyFill="1" applyFont="1">
      <alignment horizontal="center" readingOrder="0" vertical="center"/>
    </xf>
    <xf borderId="1" fillId="3" fontId="12" numFmtId="0" xfId="0" applyAlignment="1" applyBorder="1" applyFill="1" applyFont="1">
      <alignment horizontal="left"/>
    </xf>
    <xf borderId="7" fillId="0" fontId="9" numFmtId="0" xfId="0" applyBorder="1" applyFont="1"/>
    <xf borderId="8" fillId="0" fontId="9" numFmtId="0" xfId="0" applyBorder="1" applyFont="1"/>
    <xf borderId="9" fillId="0" fontId="13" numFmtId="0" xfId="0" applyAlignment="1" applyBorder="1" applyFont="1">
      <alignment horizontal="left" readingOrder="0"/>
    </xf>
    <xf borderId="10" fillId="0" fontId="9" numFmtId="0" xfId="0" applyBorder="1" applyFont="1"/>
    <xf borderId="11" fillId="0" fontId="9" numFmtId="0" xfId="0" applyBorder="1" applyFont="1"/>
    <xf borderId="0" fillId="5" fontId="14" numFmtId="0" xfId="0" applyAlignment="1" applyFill="1" applyFont="1">
      <alignment horizontal="center" readingOrder="0" shrinkToFit="0" vertical="center" wrapText="1"/>
    </xf>
    <xf borderId="0" fillId="6" fontId="15" numFmtId="0" xfId="0" applyAlignment="1" applyFill="1" applyFont="1">
      <alignment horizontal="center" readingOrder="0" shrinkToFit="0" vertical="center" wrapText="1"/>
    </xf>
    <xf borderId="12" fillId="0" fontId="4" numFmtId="0" xfId="0" applyBorder="1" applyFont="1"/>
    <xf borderId="12" fillId="2" fontId="1" numFmtId="0" xfId="0" applyAlignment="1" applyBorder="1" applyFill="1" applyFont="1">
      <alignment horizontal="center" readingOrder="0" shrinkToFit="0" vertical="center" wrapText="1"/>
    </xf>
    <xf borderId="13" fillId="0" fontId="9" numFmtId="0" xfId="0" applyBorder="1" applyFont="1"/>
    <xf borderId="0" fillId="5" fontId="16" numFmtId="0" xfId="0" applyAlignment="1" applyFill="1" applyFont="1">
      <alignment horizontal="center" readingOrder="0" shrinkToFit="0" vertical="center" wrapText="1"/>
    </xf>
    <xf borderId="12" fillId="0" fontId="10" numFmtId="0" xfId="0" applyBorder="1" applyFont="1"/>
    <xf borderId="3" fillId="2" fontId="1" numFmtId="0" xfId="0" applyAlignment="1" applyBorder="1" applyFill="1" applyFont="1">
      <alignment horizontal="center" readingOrder="0" shrinkToFit="0" vertical="center" wrapText="1"/>
    </xf>
    <xf borderId="12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0" fillId="5" fontId="17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18" numFmtId="0" xfId="0" applyAlignment="1" applyFont="1">
      <alignment readingOrder="0" shrinkToFit="0" vertical="center" wrapText="1"/>
    </xf>
    <xf borderId="16" fillId="2" fontId="1" numFmtId="0" xfId="0" applyAlignment="1" applyBorder="1" applyFill="1" applyFont="1">
      <alignment horizontal="center" readingOrder="0" shrinkToFit="0" vertical="center" wrapText="1"/>
    </xf>
    <xf borderId="0" fillId="7" fontId="19" numFmtId="0" xfId="0" applyAlignment="1" applyFill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4" fillId="2" fontId="21" numFmtId="0" xfId="0" applyAlignment="1" applyBorder="1" applyFill="1" applyFont="1">
      <alignment horizontal="center" readingOrder="0" vertical="center"/>
    </xf>
    <xf borderId="0" fillId="8" fontId="5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17" fillId="0" fontId="6" numFmtId="0" xfId="0" applyBorder="1" applyFont="1"/>
    <xf borderId="17" fillId="0" fontId="5" numFmtId="0" xfId="0" applyAlignment="1" applyBorder="1" applyFont="1">
      <alignment horizontal="center" readingOrder="0" vertical="center"/>
    </xf>
    <xf borderId="17" fillId="0" fontId="10" numFmtId="0" xfId="0" applyBorder="1" applyFont="1"/>
    <xf borderId="1" fillId="2" fontId="22" numFmtId="0" xfId="0" applyAlignment="1" applyBorder="1" applyFill="1" applyFont="1">
      <alignment readingOrder="0" vertical="center"/>
    </xf>
    <xf borderId="0" fillId="0" fontId="23" numFmtId="0" xfId="0" applyAlignment="1" applyFont="1">
      <alignment readingOrder="0" shrinkToFit="0" vertical="center" wrapText="1"/>
    </xf>
    <xf borderId="0" fillId="9" fontId="5" numFmtId="0" xfId="0" applyAlignment="1" applyFill="1" applyFont="1">
      <alignment horizontal="center" readingOrder="0" shrinkToFit="0" vertical="center" wrapText="1"/>
    </xf>
    <xf borderId="1" fillId="2" fontId="24" numFmtId="0" xfId="0" applyAlignment="1" applyBorder="1" applyFill="1" applyFont="1">
      <alignment horizontal="center" readingOrder="0" shrinkToFit="0" vertical="center" wrapText="1"/>
    </xf>
    <xf borderId="18" fillId="10" fontId="25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16" fillId="2" fontId="26" numFmtId="0" xfId="0" applyAlignment="1" applyBorder="1" applyFill="1" applyFont="1">
      <alignment horizontal="center" readingOrder="0" shrinkToFit="0" vertical="bottom" wrapText="1"/>
    </xf>
    <xf borderId="17" fillId="0" fontId="9" numFmtId="0" xfId="0" applyBorder="1" applyFont="1"/>
    <xf borderId="19" fillId="0" fontId="9" numFmtId="0" xfId="0" applyBorder="1" applyFont="1"/>
    <xf borderId="2" fillId="0" fontId="9" numFmtId="0" xfId="0" applyBorder="1" applyFont="1"/>
    <xf borderId="4" fillId="0" fontId="9" numFmtId="0" xfId="0" applyBorder="1" applyFont="1"/>
    <xf borderId="12" fillId="2" fontId="27" numFmtId="0" xfId="0" applyAlignment="1" applyBorder="1" applyFill="1" applyFont="1">
      <alignment horizontal="center" readingOrder="0" vertical="center"/>
    </xf>
    <xf borderId="16" fillId="0" fontId="13" numFmtId="0" xfId="0" applyAlignment="1" applyBorder="1" applyFont="1">
      <alignment horizontal="left"/>
    </xf>
    <xf borderId="1" fillId="2" fontId="28" numFmtId="0" xfId="0" applyAlignment="1" applyBorder="1" applyFill="1" applyFont="1">
      <alignment horizontal="center" readingOrder="0" vertical="center"/>
    </xf>
    <xf borderId="9" fillId="0" fontId="9" numFmtId="0" xfId="0" applyBorder="1" applyFont="1"/>
    <xf borderId="1" fillId="0" fontId="4" numFmtId="0" xfId="0" applyBorder="1" applyFont="1"/>
    <xf borderId="0" fillId="11" fontId="6" numFmtId="0" xfId="0" applyAlignment="1" applyFill="1" applyFont="1">
      <alignment horizontal="center" readingOrder="0" vertical="center"/>
    </xf>
    <xf borderId="0" fillId="11" fontId="6" numFmtId="3" xfId="0" applyAlignment="1" applyFill="1" applyFont="1" applyNumberFormat="1">
      <alignment horizontal="center" readingOrder="0" vertical="center"/>
    </xf>
    <xf borderId="0" fillId="11" fontId="6" numFmtId="0" xfId="0" applyAlignment="1" applyFill="1" applyFont="1">
      <alignment horizontal="center" readingOrder="0" shrinkToFit="0" vertical="center" wrapText="1"/>
    </xf>
    <xf borderId="17" fillId="0" fontId="6" numFmtId="3" xfId="0" applyAlignment="1" applyBorder="1" applyFont="1" applyNumberFormat="1">
      <alignment horizontal="center" readingOrder="0" vertical="center"/>
    </xf>
    <xf borderId="0" fillId="11" fontId="6" numFmtId="164" xfId="0" applyAlignment="1" applyFill="1" applyFont="1" applyNumberFormat="1">
      <alignment horizontal="center" readingOrder="0" vertical="center"/>
    </xf>
    <xf borderId="17" fillId="0" fontId="29" numFmtId="0" xfId="0" applyAlignment="1" applyBorder="1" applyFont="1">
      <alignment horizontal="center" readingOrder="0" vertical="center"/>
    </xf>
    <xf borderId="0" fillId="3" fontId="6" numFmtId="164" xfId="0" applyAlignment="1" applyFill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17" fillId="0" fontId="10" numFmtId="164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5" xfId="0" applyBorder="1" applyFont="1" applyNumberFormat="1"/>
    <xf borderId="16" fillId="3" fontId="4" numFmtId="0" xfId="0" applyAlignment="1" applyBorder="1" applyFill="1" applyFont="1">
      <alignment horizontal="center" readingOrder="0"/>
    </xf>
    <xf borderId="20" fillId="0" fontId="6" numFmtId="0" xfId="0" applyAlignment="1" applyBorder="1" applyFont="1">
      <alignment horizontal="center" readingOrder="0" vertical="center"/>
    </xf>
    <xf borderId="20" fillId="0" fontId="6" numFmtId="3" xfId="0" applyAlignment="1" applyBorder="1" applyFont="1" applyNumberFormat="1">
      <alignment horizontal="center" readingOrder="0" vertical="center"/>
    </xf>
    <xf borderId="20" fillId="0" fontId="6" numFmtId="0" xfId="0" applyAlignment="1" applyBorder="1" applyFont="1">
      <alignment horizontal="center" readingOrder="0" shrinkToFit="0" vertical="center" wrapText="1"/>
    </xf>
    <xf borderId="1" fillId="0" fontId="6" numFmtId="3" xfId="0" applyAlignment="1" applyBorder="1" applyFont="1" applyNumberFormat="1">
      <alignment horizontal="center" readingOrder="0" vertical="center"/>
    </xf>
    <xf borderId="20" fillId="0" fontId="6" numFmtId="164" xfId="0" applyAlignment="1" applyBorder="1" applyFont="1" applyNumberFormat="1">
      <alignment horizontal="center" readingOrder="0" vertical="center"/>
    </xf>
    <xf borderId="3" fillId="0" fontId="10" numFmtId="164" xfId="0" applyAlignment="1" applyBorder="1" applyFont="1" applyNumberFormat="1">
      <alignment horizontal="center" readingOrder="0" vertical="center"/>
    </xf>
    <xf borderId="20" fillId="0" fontId="10" numFmtId="164" xfId="0" applyAlignment="1" applyBorder="1" applyFont="1" applyNumberForma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0" fontId="30" numFmtId="2" xfId="0" applyBorder="1" applyFont="1" applyNumberFormat="1"/>
    <xf borderId="1" fillId="0" fontId="30" numFmtId="0" xfId="0" applyAlignment="1" applyBorder="1" applyFont="1">
      <alignment readingOrder="0"/>
    </xf>
    <xf borderId="1" fillId="0" fontId="30" numFmtId="0" xfId="0" applyBorder="1" applyFont="1"/>
    <xf borderId="1" fillId="3" fontId="4" numFmtId="0" xfId="0" applyAlignment="1" applyBorder="1" applyFill="1" applyFont="1">
      <alignment readingOrder="0"/>
    </xf>
    <xf borderId="1" fillId="3" fontId="30" numFmtId="0" xfId="0" applyAlignment="1" applyBorder="1" applyFill="1" applyFont="1">
      <alignment readingOrder="0"/>
    </xf>
    <xf borderId="0" fillId="5" fontId="31" numFmtId="0" xfId="0" applyAlignment="1" applyFill="1" applyFont="1">
      <alignment horizontal="center" readingOrder="0" vertical="center"/>
    </xf>
    <xf borderId="0" fillId="5" fontId="31" numFmtId="164" xfId="0" applyAlignment="1" applyFill="1" applyFont="1" applyNumberFormat="1">
      <alignment horizontal="center" readingOrder="0" vertical="center"/>
    </xf>
    <xf borderId="4" fillId="0" fontId="5" numFmtId="164" xfId="0" applyAlignment="1" applyBorder="1" applyFont="1" applyNumberFormat="1">
      <alignment horizontal="center" readingOrder="0" vertical="center"/>
    </xf>
    <xf borderId="0" fillId="12" fontId="32" numFmtId="3" xfId="0" applyAlignment="1" applyFill="1" applyFont="1" applyNumberFormat="1">
      <alignment horizontal="center" vertical="center"/>
    </xf>
    <xf borderId="0" fillId="12" fontId="33" numFmtId="0" xfId="0" applyAlignment="1" applyFill="1" applyFont="1">
      <alignment horizontal="center" readingOrder="0" shrinkToFit="0" vertical="center" wrapText="1"/>
    </xf>
    <xf borderId="0" fillId="12" fontId="32" numFmtId="164" xfId="0" applyAlignment="1" applyFill="1" applyFont="1" applyNumberFormat="1">
      <alignment horizontal="center" vertical="center"/>
    </xf>
    <xf borderId="4" fillId="0" fontId="33" numFmtId="164" xfId="0" applyAlignment="1" applyBorder="1" applyFont="1" applyNumberFormat="1">
      <alignment horizontal="center" vertical="center"/>
    </xf>
    <xf borderId="1" fillId="3" fontId="4" numFmtId="164" xfId="0" applyBorder="1" applyFill="1" applyFont="1" applyNumberFormat="1"/>
    <xf borderId="1" fillId="3" fontId="30" numFmtId="164" xfId="0" applyBorder="1" applyFill="1" applyFont="1" applyNumberFormat="1"/>
    <xf borderId="20" fillId="0" fontId="33" numFmtId="3" xfId="0" applyAlignment="1" applyBorder="1" applyFont="1" applyNumberFormat="1">
      <alignment horizontal="center" vertical="center"/>
    </xf>
    <xf borderId="20" fillId="0" fontId="33" numFmtId="0" xfId="0" applyAlignment="1" applyBorder="1" applyFont="1">
      <alignment horizontal="center" readingOrder="0" shrinkToFit="0" vertical="center" wrapText="1"/>
    </xf>
    <xf borderId="20" fillId="0" fontId="6" numFmtId="0" xfId="0" applyBorder="1" applyFont="1"/>
    <xf borderId="20" fillId="0" fontId="33" numFmtId="164" xfId="0" applyAlignment="1" applyBorder="1" applyFont="1" applyNumberFormat="1">
      <alignment horizontal="center" vertical="center"/>
    </xf>
    <xf borderId="3" fillId="0" fontId="33" numFmtId="164" xfId="0" applyAlignment="1" applyBorder="1" applyFont="1" applyNumberFormat="1">
      <alignment horizontal="center" vertical="center"/>
    </xf>
    <xf borderId="20" fillId="0" fontId="10" numFmtId="0" xfId="0" applyBorder="1" applyFont="1"/>
    <xf borderId="0" fillId="5" fontId="34" numFmtId="0" xfId="0" applyAlignment="1" applyFill="1" applyFont="1">
      <alignment horizontal="center" readingOrder="0" vertical="center"/>
    </xf>
    <xf borderId="4" fillId="0" fontId="35" numFmtId="0" xfId="0" applyAlignment="1" applyBorder="1" applyFont="1">
      <alignment horizontal="center" readingOrder="0" vertical="center"/>
    </xf>
    <xf borderId="16" fillId="2" fontId="10" numFmtId="0" xfId="0" applyBorder="1" applyFill="1" applyFont="1"/>
    <xf borderId="0" fillId="12" fontId="33" numFmtId="0" xfId="0" applyAlignment="1" applyFill="1" applyFont="1">
      <alignment horizontal="center" shrinkToFit="0" vertical="center" wrapText="1"/>
    </xf>
    <xf borderId="4" fillId="0" fontId="35" numFmtId="0" xfId="0" applyAlignment="1" applyBorder="1" applyFont="1">
      <alignment horizontal="center" shrinkToFit="0" vertical="center" wrapText="1"/>
    </xf>
    <xf borderId="1" fillId="2" fontId="10" numFmtId="0" xfId="0" applyBorder="1" applyFill="1" applyFont="1"/>
    <xf borderId="12" fillId="0" fontId="6" numFmtId="0" xfId="0" applyBorder="1" applyFont="1"/>
    <xf borderId="11" fillId="0" fontId="6" numFmtId="0" xfId="0" applyBorder="1" applyFont="1"/>
    <xf borderId="11" fillId="0" fontId="10" numFmtId="0" xfId="0" applyBorder="1" applyFont="1"/>
    <xf borderId="18" fillId="7" fontId="19" numFmtId="0" xfId="0" applyAlignment="1" applyBorder="1" applyFill="1" applyFont="1">
      <alignment horizontal="center" readingOrder="0" vertical="center"/>
    </xf>
    <xf borderId="18" fillId="7" fontId="36" numFmtId="0" xfId="0" applyAlignment="1" applyBorder="1" applyFill="1" applyFont="1">
      <alignment horizontal="center" readingOrder="0" vertical="center"/>
    </xf>
    <xf borderId="18" fillId="7" fontId="36" numFmtId="0" xfId="0" applyAlignment="1" applyBorder="1" applyFill="1" applyFont="1">
      <alignment horizontal="center" readingOrder="0" shrinkToFit="0" vertical="center" wrapText="1"/>
    </xf>
    <xf borderId="18" fillId="13" fontId="37" numFmtId="164" xfId="0" applyAlignment="1" applyBorder="1" applyFill="1" applyFont="1" applyNumberFormat="1">
      <alignment horizontal="center" shrinkToFit="0" vertical="center" wrapText="1"/>
    </xf>
    <xf borderId="18" fillId="13" fontId="38" numFmtId="0" xfId="0" applyAlignment="1" applyBorder="1" applyFill="1" applyFont="1">
      <alignment horizontal="center" readingOrder="0" shrinkToFit="0" vertical="center" wrapText="1"/>
    </xf>
    <xf borderId="18" fillId="13" fontId="37" numFmtId="4" xfId="0" applyAlignment="1" applyBorder="1" applyFill="1" applyFont="1" applyNumberFormat="1">
      <alignment horizontal="center" shrinkToFit="0" vertical="center" wrapText="1"/>
    </xf>
    <xf borderId="18" fillId="13" fontId="38" numFmtId="4" xfId="0" applyAlignment="1" applyBorder="1" applyFill="1" applyFont="1" applyNumberFormat="1">
      <alignment horizontal="center" readingOrder="0" shrinkToFit="0" vertical="center" wrapText="1"/>
    </xf>
    <xf borderId="21" fillId="0" fontId="9" numFmtId="0" xfId="0" applyBorder="1" applyFont="1"/>
    <xf borderId="9" fillId="0" fontId="6" numFmtId="0" xfId="0" applyBorder="1" applyFont="1"/>
    <xf borderId="0" fillId="14" fontId="39" numFmtId="0" xfId="0" applyAlignment="1" applyFill="1" applyFont="1">
      <alignment horizontal="center" readingOrder="0" shrinkToFit="0" vertical="center" wrapText="1"/>
    </xf>
    <xf borderId="1" fillId="2" fontId="6" numFmtId="0" xfId="0" applyBorder="1" applyFill="1" applyFont="1"/>
    <xf borderId="12" fillId="2" fontId="4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2</xdr:row>
      <xdr:rowOff>9525</xdr:rowOff>
    </xdr:from>
    <xdr:ext cx="590550" cy="238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3</xdr:row>
      <xdr:rowOff>361950</xdr:rowOff>
    </xdr:from>
    <xdr:ext cx="3162300" cy="31623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38100</xdr:rowOff>
    </xdr:from>
    <xdr:ext cx="1190625" cy="92392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27</xdr:row>
      <xdr:rowOff>85725</xdr:rowOff>
    </xdr:from>
    <xdr:ext cx="1323975" cy="276225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66675" cy="381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66675" cy="38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fo.gupy.io/agendar-demonstracao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" TargetMode="External"/><Relationship Id="rId2" Type="http://schemas.openxmlformats.org/officeDocument/2006/relationships/hyperlink" Target="https://info.gupy.io/guia-recrutamento-e-selecao" TargetMode="External"/><Relationship Id="rId3" Type="http://schemas.openxmlformats.org/officeDocument/2006/relationships/hyperlink" Target="https://info.gupy.io/material-template-dashboard-de-indicadores-de-rh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2.88"/>
    <col customWidth="1" min="3" max="3" width="15.13"/>
    <col customWidth="1" min="4" max="9" width="13.25"/>
    <col customWidth="1" min="10" max="10" width="8.5"/>
    <col customWidth="1" min="11" max="11" width="13.25"/>
    <col customWidth="1" min="12" max="12" width="14.63"/>
    <col customWidth="1" min="13" max="13" width="4.5"/>
  </cols>
  <sheetData>
    <row r="1" ht="27.75" customHeight="1">
      <c r="A1" s="3"/>
      <c r="B1" s="3"/>
      <c r="C1" s="3"/>
      <c r="D1" s="7"/>
      <c r="E1" s="7"/>
      <c r="F1" s="7"/>
      <c r="G1" s="7"/>
      <c r="H1" s="7"/>
      <c r="I1" s="7"/>
      <c r="J1" s="7"/>
      <c r="K1" s="7"/>
      <c r="L1" s="7"/>
      <c r="M1" s="11"/>
    </row>
    <row r="2">
      <c r="A2" s="3"/>
      <c r="B2" s="16"/>
      <c r="D2" s="23" t="s">
        <v>10</v>
      </c>
      <c r="K2" s="30" t="s">
        <v>11</v>
      </c>
      <c r="M2" s="11"/>
    </row>
    <row r="3" ht="36.75" customHeight="1">
      <c r="A3" s="3"/>
      <c r="M3" s="11"/>
    </row>
    <row r="4" ht="39.0" customHeight="1">
      <c r="A4" s="33"/>
      <c r="B4" s="35" t="s">
        <v>14</v>
      </c>
      <c r="D4" s="43" t="s">
        <v>15</v>
      </c>
      <c r="I4" s="46"/>
      <c r="M4" s="47"/>
    </row>
    <row r="5" ht="65.25" customHeight="1">
      <c r="A5" s="1"/>
      <c r="M5" s="47"/>
    </row>
    <row r="6" ht="36.75" customHeight="1">
      <c r="A6" s="1"/>
      <c r="B6" s="35" t="s">
        <v>19</v>
      </c>
      <c r="D6" s="43" t="s">
        <v>20</v>
      </c>
      <c r="M6" s="47"/>
    </row>
    <row r="7" ht="110.25" customHeight="1">
      <c r="A7" s="1"/>
      <c r="M7" s="47"/>
    </row>
    <row r="8" ht="32.25" customHeight="1">
      <c r="A8" s="1"/>
      <c r="B8" s="35" t="s">
        <v>23</v>
      </c>
      <c r="D8" s="54" t="s">
        <v>24</v>
      </c>
      <c r="M8" s="47"/>
    </row>
    <row r="9" ht="28.5" customHeight="1">
      <c r="A9" s="1"/>
      <c r="M9" s="47"/>
    </row>
    <row r="10" ht="28.5" customHeight="1">
      <c r="A10" s="56"/>
      <c r="B10" s="56"/>
      <c r="C10" s="59" t="s">
        <v>29</v>
      </c>
      <c r="D10" s="60"/>
      <c r="E10" s="60"/>
      <c r="F10" s="60"/>
      <c r="G10" s="60"/>
      <c r="H10" s="63"/>
      <c r="I10" s="64"/>
      <c r="J10" s="64"/>
      <c r="K10" s="64"/>
      <c r="L10" s="64"/>
      <c r="M10" s="66"/>
    </row>
  </sheetData>
  <mergeCells count="11">
    <mergeCell ref="B6:C7"/>
    <mergeCell ref="B8:C9"/>
    <mergeCell ref="D8:H9"/>
    <mergeCell ref="C10:H10"/>
    <mergeCell ref="B2:C3"/>
    <mergeCell ref="D2:J3"/>
    <mergeCell ref="K2:L3"/>
    <mergeCell ref="B4:C5"/>
    <mergeCell ref="D4:H5"/>
    <mergeCell ref="I4:L9"/>
    <mergeCell ref="D6:H7"/>
  </mergeCells>
  <hyperlinks>
    <hyperlink r:id="rId1" ref="K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8.88"/>
    <col customWidth="1" min="3" max="3" width="3.25"/>
    <col customWidth="1" min="4" max="4" width="8.88"/>
    <col customWidth="1" min="5" max="5" width="3.88"/>
    <col customWidth="1" min="6" max="6" width="8.88"/>
    <col customWidth="1" min="7" max="7" width="3.25"/>
    <col customWidth="1" min="8" max="8" width="8.88"/>
    <col customWidth="1" min="9" max="9" width="3.88"/>
    <col customWidth="1" min="10" max="10" width="8.88"/>
    <col customWidth="1" min="11" max="11" width="3.25"/>
    <col customWidth="1" min="12" max="12" width="8.88"/>
    <col customWidth="1" min="13" max="13" width="3.88"/>
    <col customWidth="1" min="14" max="14" width="8.88"/>
    <col customWidth="1" min="15" max="15" width="3.25"/>
    <col customWidth="1" min="16" max="16" width="8.88"/>
    <col customWidth="1" min="17" max="17" width="3.88"/>
    <col customWidth="1" min="18" max="18" width="8.88"/>
    <col customWidth="1" min="19" max="19" width="3.25"/>
    <col customWidth="1" min="20" max="20" width="5.75"/>
    <col customWidth="1" min="21" max="21" width="3.88"/>
    <col customWidth="1" min="22" max="22" width="8.88"/>
    <col customWidth="1" min="23" max="23" width="3.25"/>
    <col customWidth="1" min="24" max="24" width="14.0"/>
    <col customWidth="1" min="25" max="25" width="5.0"/>
    <col customWidth="1" hidden="1" min="26" max="36" width="0.38"/>
  </cols>
  <sheetData>
    <row r="1" ht="27.0" customHeight="1">
      <c r="A1" s="1"/>
      <c r="B1" s="5"/>
      <c r="C1" s="9"/>
      <c r="D1" s="5"/>
      <c r="E1" s="13"/>
      <c r="F1" s="9"/>
      <c r="G1" s="5"/>
      <c r="H1" s="5"/>
      <c r="I1" s="13"/>
      <c r="J1" s="5"/>
      <c r="K1" s="5"/>
      <c r="L1" s="9"/>
      <c r="M1" s="13"/>
      <c r="N1" s="5"/>
      <c r="O1" s="5"/>
      <c r="P1" s="5"/>
      <c r="Q1" s="17"/>
      <c r="R1" s="5"/>
      <c r="S1" s="5"/>
      <c r="T1" s="5"/>
      <c r="U1" s="18"/>
      <c r="V1" s="19"/>
      <c r="W1" s="19"/>
      <c r="X1" s="20"/>
      <c r="Y1" s="21"/>
      <c r="Z1" s="24"/>
      <c r="AA1" s="27" t="s">
        <v>12</v>
      </c>
      <c r="AB1" s="28"/>
      <c r="AC1" s="29"/>
      <c r="AD1" s="32"/>
      <c r="AE1" s="32"/>
      <c r="AF1" s="32"/>
      <c r="AG1" s="36"/>
      <c r="AH1" s="36"/>
      <c r="AI1" s="36"/>
      <c r="AJ1" s="18"/>
    </row>
    <row r="2" ht="28.5" customHeight="1">
      <c r="A2" s="44"/>
      <c r="B2" s="48" t="s">
        <v>18</v>
      </c>
      <c r="E2" s="50"/>
      <c r="F2" s="48" t="s">
        <v>21</v>
      </c>
      <c r="I2" s="50"/>
      <c r="J2" s="48" t="s">
        <v>22</v>
      </c>
      <c r="M2" s="51"/>
      <c r="N2" s="48" t="s">
        <v>25</v>
      </c>
      <c r="Q2" s="50"/>
      <c r="R2" s="48" t="s">
        <v>26</v>
      </c>
      <c r="U2" s="52"/>
      <c r="V2" s="55" t="s">
        <v>27</v>
      </c>
      <c r="Y2" s="58"/>
      <c r="Z2" s="24"/>
      <c r="AA2" s="65">
        <f>F3*N3*J3*60/3600</f>
        <v>346.6666667</v>
      </c>
      <c r="AB2" s="60"/>
      <c r="AC2" s="63"/>
      <c r="AD2" s="68"/>
      <c r="AE2" s="68"/>
      <c r="AF2" s="68"/>
      <c r="AG2" s="18"/>
      <c r="AH2" s="18"/>
      <c r="AI2" s="18"/>
      <c r="AJ2" s="18"/>
    </row>
    <row r="3" ht="19.5" customHeight="1">
      <c r="A3" s="44"/>
      <c r="B3" s="69">
        <v>2.0</v>
      </c>
      <c r="E3" s="50"/>
      <c r="F3" s="69">
        <v>13.0</v>
      </c>
      <c r="I3" s="50"/>
      <c r="J3" s="70">
        <v>5.0</v>
      </c>
      <c r="K3" s="71" t="s">
        <v>30</v>
      </c>
      <c r="M3" s="72"/>
      <c r="N3" s="70">
        <v>320.0</v>
      </c>
      <c r="Q3" s="50"/>
      <c r="R3" s="73">
        <v>4000.0</v>
      </c>
      <c r="U3" s="74"/>
      <c r="V3" s="75">
        <v>700.0</v>
      </c>
      <c r="Y3" s="76"/>
      <c r="Z3" s="18"/>
      <c r="AA3" s="68"/>
      <c r="AB3" s="68"/>
      <c r="AC3" s="68"/>
      <c r="AD3" s="68"/>
      <c r="AE3" s="68"/>
      <c r="AF3" s="68"/>
      <c r="AG3" s="18"/>
      <c r="AH3" s="18"/>
      <c r="AI3" s="18"/>
      <c r="AJ3" s="18"/>
    </row>
    <row r="4" ht="15.0" customHeight="1">
      <c r="A4" s="44"/>
      <c r="E4" s="50"/>
      <c r="I4" s="50"/>
      <c r="M4" s="72"/>
      <c r="Q4" s="50"/>
      <c r="U4" s="77"/>
      <c r="Y4" s="76"/>
      <c r="Z4" s="78"/>
      <c r="AA4" s="79" t="s">
        <v>31</v>
      </c>
      <c r="AB4" s="79" t="s">
        <v>32</v>
      </c>
      <c r="AC4" s="80">
        <f>AA2*60</f>
        <v>20800</v>
      </c>
      <c r="AD4" s="79" t="s">
        <v>33</v>
      </c>
      <c r="AE4" s="68"/>
      <c r="AF4" s="68"/>
      <c r="AG4" s="81" t="s">
        <v>34</v>
      </c>
      <c r="AH4" s="60"/>
      <c r="AI4" s="63"/>
      <c r="AJ4" s="18"/>
    </row>
    <row r="5" ht="18.0" customHeight="1">
      <c r="A5" s="1"/>
      <c r="B5" s="82"/>
      <c r="C5" s="82"/>
      <c r="D5" s="82"/>
      <c r="E5" s="9"/>
      <c r="F5" s="82"/>
      <c r="G5" s="82"/>
      <c r="H5" s="82"/>
      <c r="I5" s="9"/>
      <c r="J5" s="83"/>
      <c r="K5" s="84"/>
      <c r="L5" s="84"/>
      <c r="M5" s="85"/>
      <c r="N5" s="83"/>
      <c r="O5" s="83"/>
      <c r="P5" s="83"/>
      <c r="Q5" s="9"/>
      <c r="R5" s="86"/>
      <c r="S5" s="86"/>
      <c r="T5" s="86"/>
      <c r="U5" s="87"/>
      <c r="V5" s="88"/>
      <c r="W5" s="88"/>
      <c r="X5" s="88"/>
      <c r="Y5" s="89"/>
      <c r="Z5" s="78"/>
      <c r="AA5" s="79" t="s">
        <v>35</v>
      </c>
      <c r="AB5" s="79" t="s">
        <v>32</v>
      </c>
      <c r="AC5" s="90">
        <f>AA2/B3</f>
        <v>173.3333333</v>
      </c>
      <c r="AD5" s="91" t="s">
        <v>36</v>
      </c>
      <c r="AE5" s="92"/>
      <c r="AF5" s="68"/>
      <c r="AG5" s="93" t="s">
        <v>37</v>
      </c>
      <c r="AH5" s="93" t="s">
        <v>38</v>
      </c>
      <c r="AI5" s="94" t="s">
        <v>39</v>
      </c>
      <c r="AJ5" s="18"/>
    </row>
    <row r="6" ht="21.0" customHeight="1">
      <c r="A6" s="44"/>
      <c r="B6" s="95" t="s">
        <v>40</v>
      </c>
      <c r="M6" s="52"/>
      <c r="N6" s="96" t="s">
        <v>41</v>
      </c>
      <c r="Y6" s="97"/>
      <c r="Z6" s="78"/>
      <c r="AA6" s="79"/>
      <c r="AB6" s="79"/>
      <c r="AC6" s="90"/>
      <c r="AD6" s="91"/>
      <c r="AE6" s="92"/>
      <c r="AF6" s="68"/>
      <c r="AG6" s="93"/>
      <c r="AH6" s="93"/>
      <c r="AI6" s="94"/>
      <c r="AJ6" s="18"/>
    </row>
    <row r="7" ht="28.5" customHeight="1">
      <c r="A7" s="44"/>
      <c r="B7" s="98">
        <f>AC5</f>
        <v>173.3333333</v>
      </c>
      <c r="I7" s="99" t="s">
        <v>36</v>
      </c>
      <c r="M7" s="52"/>
      <c r="N7" s="100">
        <f>B3*AC5*AH7</f>
        <v>18850</v>
      </c>
      <c r="Y7" s="101"/>
      <c r="Z7" s="78"/>
      <c r="AA7" s="79" t="s">
        <v>31</v>
      </c>
      <c r="AB7" s="79" t="s">
        <v>32</v>
      </c>
      <c r="AC7" s="68">
        <f>AC4/60</f>
        <v>346.6666667</v>
      </c>
      <c r="AD7" s="79" t="s">
        <v>36</v>
      </c>
      <c r="AE7" s="68"/>
      <c r="AF7" s="68"/>
      <c r="AG7" s="102">
        <f>(R3*B3+V3)/20</f>
        <v>435</v>
      </c>
      <c r="AH7" s="102">
        <f>AG7/8</f>
        <v>54.375</v>
      </c>
      <c r="AI7" s="103">
        <f>AH7/60</f>
        <v>0.90625</v>
      </c>
      <c r="AJ7" s="18"/>
    </row>
    <row r="8" ht="28.5" customHeight="1">
      <c r="A8" s="44"/>
      <c r="M8" s="52"/>
      <c r="Y8" s="101"/>
      <c r="Z8" s="78"/>
      <c r="AA8" s="79" t="s">
        <v>35</v>
      </c>
      <c r="AB8" s="79" t="s">
        <v>32</v>
      </c>
      <c r="AC8" s="68">
        <f>AC4/B3</f>
        <v>10400</v>
      </c>
      <c r="AD8" s="79" t="s">
        <v>42</v>
      </c>
      <c r="AE8" s="68"/>
      <c r="AF8" s="68"/>
      <c r="AG8" s="18"/>
      <c r="AH8" s="18"/>
      <c r="AI8" s="18"/>
      <c r="AJ8" s="18"/>
    </row>
    <row r="9" ht="21.0" customHeight="1">
      <c r="A9" s="1"/>
      <c r="B9" s="104"/>
      <c r="C9" s="104"/>
      <c r="D9" s="104"/>
      <c r="E9" s="104"/>
      <c r="F9" s="104"/>
      <c r="G9" s="105"/>
      <c r="H9" s="105"/>
      <c r="I9" s="105"/>
      <c r="J9" s="105"/>
      <c r="K9" s="106"/>
      <c r="L9" s="107"/>
      <c r="M9" s="108"/>
      <c r="N9" s="107"/>
      <c r="O9" s="107"/>
      <c r="P9" s="107"/>
      <c r="Q9" s="107"/>
      <c r="R9" s="107"/>
      <c r="S9" s="107"/>
      <c r="T9" s="107"/>
      <c r="U9" s="109"/>
      <c r="V9" s="109"/>
      <c r="W9" s="109"/>
      <c r="X9" s="109"/>
      <c r="Y9" s="18"/>
      <c r="Z9" s="18"/>
      <c r="AA9" s="36"/>
      <c r="AB9" s="36"/>
      <c r="AC9" s="36"/>
      <c r="AD9" s="36"/>
      <c r="AE9" s="36"/>
      <c r="AF9" s="36"/>
      <c r="AG9" s="18"/>
      <c r="AH9" s="18"/>
      <c r="AI9" s="18"/>
      <c r="AJ9" s="18"/>
    </row>
    <row r="10" ht="28.5" customHeight="1">
      <c r="A10" s="44"/>
      <c r="B10" s="110" t="s">
        <v>43</v>
      </c>
      <c r="Y10" s="111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</row>
    <row r="11" ht="3.75" customHeight="1">
      <c r="A11" s="112"/>
      <c r="Y11" s="111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>
      <c r="A12" s="112"/>
      <c r="B12" s="113" t="str">
        <f>"Você gasta " &amp; DOLLAR(N7)&amp; " reais e cada recrutador perde " &amp; VALUE(B7) &amp; " horas para triar " &amp; (N3)&amp; " currículos nas " &amp; (F3)&amp; " vagas abertas."</f>
        <v>Você gasta R$ 18.850,00 reais e cada recrutador perde 173,333333333333 horas para triar 320 currículos nas 13 vagas abertas.</v>
      </c>
      <c r="Y12" s="114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</row>
    <row r="13">
      <c r="A13" s="112"/>
      <c r="Y13" s="114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>
      <c r="A14" s="112"/>
      <c r="Y14" s="114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</row>
    <row r="15">
      <c r="A15" s="115"/>
      <c r="B15" s="116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8"/>
      <c r="V15" s="118"/>
      <c r="W15" s="118"/>
      <c r="X15" s="1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</row>
    <row r="16" ht="1.5" customHeight="1">
      <c r="A16" s="115"/>
      <c r="B16" s="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8"/>
      <c r="V16" s="118"/>
      <c r="W16" s="118"/>
      <c r="X16" s="1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 ht="1.5" customHeight="1">
      <c r="A17" s="115"/>
      <c r="B17" s="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8"/>
      <c r="V17" s="118"/>
      <c r="W17" s="118"/>
      <c r="X17" s="1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</row>
    <row r="18">
      <c r="A18" s="115"/>
      <c r="B18" s="17"/>
      <c r="C18" s="117"/>
      <c r="D18" s="119" t="s">
        <v>44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2"/>
      <c r="W18" s="118"/>
      <c r="X18" s="1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</row>
    <row r="19">
      <c r="A19" s="115"/>
      <c r="B19" s="116"/>
      <c r="C19" s="116"/>
      <c r="D19" s="67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9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>
      <c r="A20" s="115"/>
      <c r="B20" s="116"/>
      <c r="C20" s="116"/>
      <c r="D20" s="120" t="s">
        <v>45</v>
      </c>
      <c r="E20" s="61"/>
      <c r="F20" s="61"/>
      <c r="G20" s="61"/>
      <c r="H20" s="61"/>
      <c r="I20" s="61"/>
      <c r="J20" s="61"/>
      <c r="K20" s="61"/>
      <c r="L20" s="61"/>
      <c r="M20" s="62"/>
      <c r="N20" s="17"/>
      <c r="O20" s="121" t="s">
        <v>46</v>
      </c>
      <c r="P20" s="61"/>
      <c r="Q20" s="61"/>
      <c r="R20" s="61"/>
      <c r="S20" s="61"/>
      <c r="T20" s="61"/>
      <c r="U20" s="61"/>
      <c r="V20" s="62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</row>
    <row r="21">
      <c r="A21" s="115"/>
      <c r="B21" s="116"/>
      <c r="C21" s="116"/>
      <c r="D21" s="67"/>
      <c r="E21" s="28"/>
      <c r="F21" s="28"/>
      <c r="G21" s="28"/>
      <c r="H21" s="28"/>
      <c r="I21" s="28"/>
      <c r="J21" s="28"/>
      <c r="K21" s="28"/>
      <c r="L21" s="28"/>
      <c r="M21" s="29"/>
      <c r="N21" s="17"/>
      <c r="O21" s="67"/>
      <c r="P21" s="28"/>
      <c r="Q21" s="28"/>
      <c r="R21" s="28"/>
      <c r="S21" s="28"/>
      <c r="T21" s="28"/>
      <c r="U21" s="28"/>
      <c r="V21" s="29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>
      <c r="A22" s="115"/>
      <c r="B22" s="116"/>
      <c r="C22" s="116"/>
      <c r="D22" s="122">
        <f>0.5*N7</f>
        <v>9425</v>
      </c>
      <c r="E22" s="61"/>
      <c r="F22" s="61"/>
      <c r="G22" s="61"/>
      <c r="H22" s="61"/>
      <c r="I22" s="62"/>
      <c r="J22" s="123" t="s">
        <v>47</v>
      </c>
      <c r="K22" s="61"/>
      <c r="L22" s="61"/>
      <c r="M22" s="62"/>
      <c r="N22" s="17"/>
      <c r="O22" s="124">
        <f>B7*0.75</f>
        <v>130</v>
      </c>
      <c r="P22" s="61"/>
      <c r="Q22" s="61"/>
      <c r="R22" s="62"/>
      <c r="S22" s="125" t="s">
        <v>36</v>
      </c>
      <c r="T22" s="61"/>
      <c r="U22" s="61"/>
      <c r="V22" s="62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>
      <c r="A23" s="115"/>
      <c r="B23" s="116"/>
      <c r="C23" s="116"/>
      <c r="D23" s="126"/>
      <c r="I23" s="34"/>
      <c r="J23" s="126"/>
      <c r="M23" s="34"/>
      <c r="N23" s="17"/>
      <c r="O23" s="126"/>
      <c r="R23" s="34"/>
      <c r="S23" s="126"/>
      <c r="V23" s="34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</row>
    <row r="24">
      <c r="A24" s="115"/>
      <c r="B24" s="116"/>
      <c r="C24" s="116"/>
      <c r="D24" s="67"/>
      <c r="E24" s="28"/>
      <c r="F24" s="28"/>
      <c r="G24" s="28"/>
      <c r="H24" s="28"/>
      <c r="I24" s="29"/>
      <c r="J24" s="67"/>
      <c r="K24" s="28"/>
      <c r="L24" s="28"/>
      <c r="M24" s="29"/>
      <c r="N24" s="18"/>
      <c r="O24" s="67"/>
      <c r="P24" s="28"/>
      <c r="Q24" s="28"/>
      <c r="R24" s="29"/>
      <c r="S24" s="67"/>
      <c r="T24" s="28"/>
      <c r="U24" s="28"/>
      <c r="V24" s="29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>
      <c r="A25" s="115"/>
      <c r="B25" s="116"/>
      <c r="C25" s="116"/>
      <c r="D25" s="120" t="s">
        <v>48</v>
      </c>
      <c r="E25" s="61"/>
      <c r="F25" s="61"/>
      <c r="G25" s="61"/>
      <c r="H25" s="61"/>
      <c r="I25" s="61"/>
      <c r="J25" s="61"/>
      <c r="K25" s="61"/>
      <c r="L25" s="61"/>
      <c r="M25" s="62"/>
      <c r="N25" s="18"/>
      <c r="O25" s="120" t="s">
        <v>49</v>
      </c>
      <c r="P25" s="61"/>
      <c r="Q25" s="61"/>
      <c r="R25" s="61"/>
      <c r="S25" s="61"/>
      <c r="T25" s="61"/>
      <c r="U25" s="61"/>
      <c r="V25" s="62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</row>
    <row r="26">
      <c r="A26" s="115"/>
      <c r="B26" s="116"/>
      <c r="C26" s="116"/>
      <c r="D26" s="67"/>
      <c r="E26" s="28"/>
      <c r="F26" s="28"/>
      <c r="G26" s="28"/>
      <c r="H26" s="28"/>
      <c r="I26" s="28"/>
      <c r="J26" s="28"/>
      <c r="K26" s="28"/>
      <c r="L26" s="28"/>
      <c r="M26" s="29"/>
      <c r="N26" s="18"/>
      <c r="O26" s="67"/>
      <c r="P26" s="28"/>
      <c r="Q26" s="28"/>
      <c r="R26" s="28"/>
      <c r="S26" s="28"/>
      <c r="T26" s="28"/>
      <c r="U26" s="28"/>
      <c r="V26" s="29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</row>
    <row r="27" ht="17.25" customHeight="1">
      <c r="A27" s="115"/>
      <c r="B27" s="116"/>
      <c r="C27" s="116"/>
      <c r="D27" s="116"/>
      <c r="E27" s="116"/>
      <c r="F27" s="116"/>
      <c r="G27" s="116"/>
      <c r="H27" s="116"/>
      <c r="I27" s="116"/>
      <c r="J27" s="106"/>
      <c r="K27" s="106"/>
      <c r="L27" s="106"/>
      <c r="M27" s="106"/>
      <c r="N27" s="106"/>
      <c r="O27" s="106"/>
      <c r="P27" s="106"/>
      <c r="Q27" s="106"/>
      <c r="R27" s="106"/>
      <c r="S27" s="116"/>
      <c r="T27" s="116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ht="35.25" customHeight="1">
      <c r="A28" s="115"/>
      <c r="B28" s="116"/>
      <c r="C28" s="116"/>
      <c r="D28" s="116"/>
      <c r="E28" s="116"/>
      <c r="F28" s="116"/>
      <c r="G28" s="116"/>
      <c r="H28" s="116"/>
      <c r="I28" s="127"/>
      <c r="J28" s="128" t="s">
        <v>50</v>
      </c>
      <c r="S28" s="117"/>
      <c r="T28" s="116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</row>
    <row r="29" ht="1.5" customHeight="1">
      <c r="A29" s="115"/>
      <c r="B29" s="116"/>
      <c r="C29" s="116"/>
      <c r="D29" s="116"/>
      <c r="E29" s="116"/>
      <c r="F29" s="116"/>
      <c r="G29" s="116"/>
      <c r="H29" s="116"/>
      <c r="I29" s="127"/>
      <c r="S29" s="117"/>
      <c r="T29" s="116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</row>
    <row r="30" ht="22.5" customHeight="1">
      <c r="A30" s="115"/>
      <c r="B30" s="17"/>
      <c r="C30" s="17"/>
      <c r="D30" s="17"/>
      <c r="E30" s="17"/>
      <c r="F30" s="17"/>
      <c r="G30" s="17"/>
      <c r="H30" s="17"/>
      <c r="I30" s="129"/>
      <c r="J30" s="130"/>
      <c r="K30" s="130"/>
      <c r="L30" s="130"/>
      <c r="M30" s="130"/>
      <c r="N30" s="130"/>
      <c r="O30" s="130"/>
      <c r="P30" s="130"/>
      <c r="Q30" s="130"/>
      <c r="R30" s="130"/>
      <c r="S30" s="129"/>
      <c r="T30" s="129"/>
      <c r="U30" s="18"/>
      <c r="V30" s="18"/>
      <c r="W30" s="18"/>
      <c r="X30" s="18"/>
      <c r="Y30" s="18"/>
    </row>
  </sheetData>
  <mergeCells count="33">
    <mergeCell ref="AA1:AC1"/>
    <mergeCell ref="F2:H2"/>
    <mergeCell ref="J2:L2"/>
    <mergeCell ref="N2:P2"/>
    <mergeCell ref="R2:T2"/>
    <mergeCell ref="V2:X2"/>
    <mergeCell ref="AA2:AC2"/>
    <mergeCell ref="V3:X4"/>
    <mergeCell ref="AG4:AI4"/>
    <mergeCell ref="B2:D2"/>
    <mergeCell ref="B3:D4"/>
    <mergeCell ref="F3:H4"/>
    <mergeCell ref="J3:J4"/>
    <mergeCell ref="K3:L4"/>
    <mergeCell ref="N3:P4"/>
    <mergeCell ref="R3:T4"/>
    <mergeCell ref="B6:L6"/>
    <mergeCell ref="N6:X6"/>
    <mergeCell ref="B7:H8"/>
    <mergeCell ref="I7:L8"/>
    <mergeCell ref="N7:X8"/>
    <mergeCell ref="B10:X11"/>
    <mergeCell ref="B12:X14"/>
    <mergeCell ref="D25:M26"/>
    <mergeCell ref="O25:V26"/>
    <mergeCell ref="J28:R29"/>
    <mergeCell ref="D18:V19"/>
    <mergeCell ref="D20:M21"/>
    <mergeCell ref="O20:V21"/>
    <mergeCell ref="D22:I24"/>
    <mergeCell ref="J22:M24"/>
    <mergeCell ref="O22:R24"/>
    <mergeCell ref="S22:V24"/>
  </mergeCells>
  <hyperlinks>
    <hyperlink r:id="rId2" ref="J28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25"/>
    <col customWidth="1" min="3" max="3" width="14.5"/>
    <col customWidth="1" min="4" max="4" width="13.88"/>
    <col customWidth="1" min="5" max="5" width="14.0"/>
    <col customWidth="1" min="6" max="6" width="13.88"/>
    <col customWidth="1" min="7" max="7" width="12.63"/>
    <col customWidth="1" min="8" max="8" width="11.13"/>
    <col customWidth="1" min="9" max="9" width="14.63"/>
    <col customWidth="1" min="10" max="10" width="14.25"/>
    <col customWidth="1" min="11" max="11" width="14.0"/>
    <col customWidth="1" min="12" max="12" width="13.0"/>
    <col customWidth="1" min="13" max="13" width="15.0"/>
    <col customWidth="1" min="14" max="14" width="5.25"/>
  </cols>
  <sheetData>
    <row r="1" ht="28.5" customHeight="1">
      <c r="A1" s="1"/>
      <c r="B1" s="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0"/>
    </row>
    <row r="2" ht="28.5" customHeight="1">
      <c r="A2" s="1"/>
      <c r="B2" s="14" t="s">
        <v>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22"/>
      <c r="N2" s="10"/>
    </row>
    <row r="3" ht="28.5" customHeight="1">
      <c r="A3" s="1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10"/>
    </row>
    <row r="4" ht="33.75" customHeight="1">
      <c r="A4" s="1"/>
      <c r="B4" s="31" t="s">
        <v>13</v>
      </c>
      <c r="M4" s="34"/>
      <c r="N4" s="10"/>
    </row>
    <row r="5" ht="28.5" customHeight="1">
      <c r="A5" s="1"/>
      <c r="M5" s="34"/>
      <c r="N5" s="10"/>
    </row>
    <row r="6" ht="28.5" customHeight="1">
      <c r="A6" s="1"/>
      <c r="M6" s="34"/>
      <c r="N6" s="10"/>
    </row>
    <row r="7" ht="28.5" customHeight="1">
      <c r="A7" s="37"/>
      <c r="M7" s="34"/>
      <c r="N7" s="10"/>
    </row>
    <row r="8" ht="28.5" customHeight="1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  <c r="N8" s="10"/>
    </row>
    <row r="9" ht="33.0" customHeight="1">
      <c r="A9" s="1"/>
      <c r="B9" s="41" t="s">
        <v>16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9"/>
      <c r="N9" s="10"/>
    </row>
    <row r="10" ht="21.75" customHeight="1">
      <c r="A10" s="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10"/>
    </row>
    <row r="11" ht="21.75" customHeight="1">
      <c r="A11" s="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10"/>
    </row>
    <row r="12" ht="21.75" customHeight="1">
      <c r="A12" s="1"/>
      <c r="B12" s="45" t="s">
        <v>17</v>
      </c>
      <c r="N12" s="10"/>
    </row>
    <row r="13" ht="21.75" customHeight="1">
      <c r="A13" s="1"/>
      <c r="N13" s="10"/>
    </row>
    <row r="14" ht="21.75" customHeight="1">
      <c r="A14" s="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3.0" customHeight="1">
      <c r="A15" s="1"/>
      <c r="B15" s="49"/>
      <c r="G15" s="49"/>
      <c r="H15" s="49"/>
      <c r="I15" s="49"/>
      <c r="N15" s="10"/>
    </row>
    <row r="16" ht="21.75" customHeight="1">
      <c r="A16" s="1"/>
      <c r="G16" s="10"/>
      <c r="H16" s="10"/>
      <c r="N16" s="10"/>
    </row>
    <row r="17" ht="21.75" customHeight="1">
      <c r="A17" s="1"/>
      <c r="G17" s="10"/>
      <c r="H17" s="10"/>
      <c r="N17" s="10"/>
    </row>
    <row r="18" ht="21.75" customHeight="1">
      <c r="A18" s="1"/>
      <c r="G18" s="10"/>
      <c r="H18" s="10"/>
      <c r="N18" s="10"/>
    </row>
    <row r="19" ht="21.75" customHeight="1">
      <c r="A19" s="1"/>
      <c r="G19" s="10"/>
      <c r="H19" s="10"/>
      <c r="N19" s="10"/>
    </row>
    <row r="20" ht="21.75" customHeight="1">
      <c r="A20" s="1"/>
      <c r="G20" s="53"/>
      <c r="H20" s="10"/>
      <c r="N20" s="10"/>
    </row>
    <row r="21" ht="21.75" customHeight="1">
      <c r="A21" s="1"/>
      <c r="G21" s="10"/>
      <c r="H21" s="10"/>
      <c r="N21" s="10"/>
    </row>
    <row r="22" ht="21.75" customHeight="1">
      <c r="A22" s="1"/>
      <c r="G22" s="10"/>
      <c r="H22" s="10"/>
      <c r="N22" s="10"/>
    </row>
    <row r="23" ht="21.75" customHeight="1">
      <c r="A23" s="1"/>
      <c r="G23" s="10"/>
      <c r="H23" s="10"/>
      <c r="N23" s="10"/>
    </row>
    <row r="24" ht="21.75" customHeight="1">
      <c r="A24" s="1"/>
      <c r="G24" s="10"/>
      <c r="H24" s="10"/>
      <c r="N24" s="10"/>
    </row>
    <row r="25" ht="21.75" customHeight="1">
      <c r="A25" s="1"/>
      <c r="G25" s="10"/>
      <c r="H25" s="10"/>
      <c r="N25" s="10"/>
    </row>
    <row r="26" ht="21.75" customHeight="1">
      <c r="A26" s="1"/>
      <c r="B26" s="57" t="s">
        <v>28</v>
      </c>
      <c r="C26" s="61"/>
      <c r="D26" s="61"/>
      <c r="E26" s="61"/>
      <c r="F26" s="62"/>
      <c r="G26" s="10"/>
      <c r="H26" s="10"/>
      <c r="I26" s="57" t="s">
        <v>28</v>
      </c>
      <c r="J26" s="61"/>
      <c r="K26" s="61"/>
      <c r="L26" s="61"/>
      <c r="M26" s="62"/>
      <c r="N26" s="10"/>
    </row>
    <row r="27" ht="21.75" customHeight="1">
      <c r="A27" s="1"/>
      <c r="B27" s="67"/>
      <c r="C27" s="28"/>
      <c r="D27" s="28"/>
      <c r="E27" s="28"/>
      <c r="F27" s="29"/>
      <c r="G27" s="10"/>
      <c r="H27" s="10"/>
      <c r="I27" s="67"/>
      <c r="J27" s="28"/>
      <c r="K27" s="28"/>
      <c r="L27" s="28"/>
      <c r="M27" s="29"/>
      <c r="N27" s="10"/>
    </row>
    <row r="28" ht="21.75" customHeight="1">
      <c r="A28" s="1"/>
      <c r="B28" s="10"/>
      <c r="C28" s="10"/>
      <c r="D28" s="10"/>
      <c r="E28" s="10"/>
      <c r="F28" s="10"/>
      <c r="G28" s="10"/>
      <c r="H28" s="42"/>
      <c r="I28" s="10"/>
      <c r="J28" s="10"/>
      <c r="K28" s="10"/>
      <c r="L28" s="10"/>
      <c r="M28" s="10"/>
      <c r="N28" s="10"/>
    </row>
    <row r="29" ht="21.75" customHeight="1">
      <c r="A29" s="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21.75" customHeight="1">
      <c r="A30" s="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</sheetData>
  <mergeCells count="9">
    <mergeCell ref="I15:M25"/>
    <mergeCell ref="I26:M27"/>
    <mergeCell ref="B2:M3"/>
    <mergeCell ref="B4:M8"/>
    <mergeCell ref="A7:A8"/>
    <mergeCell ref="B9:M9"/>
    <mergeCell ref="B12:M13"/>
    <mergeCell ref="B15:F25"/>
    <mergeCell ref="B26:F27"/>
  </mergeCells>
  <hyperlinks>
    <hyperlink r:id="rId1" ref="B9"/>
    <hyperlink r:id="rId2" ref="B26"/>
    <hyperlink r:id="rId3" ref="I26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6.5"/>
  </cols>
  <sheetData>
    <row r="1" hidden="1">
      <c r="A1" s="4">
        <v>4.0</v>
      </c>
      <c r="B1" s="4" t="s">
        <v>0</v>
      </c>
    </row>
    <row r="2" hidden="1">
      <c r="A2" s="4">
        <v>3.0</v>
      </c>
      <c r="B2" s="4" t="s">
        <v>1</v>
      </c>
    </row>
    <row r="3" hidden="1">
      <c r="A3" s="4">
        <v>2.0</v>
      </c>
      <c r="B3" s="4" t="s">
        <v>2</v>
      </c>
    </row>
    <row r="4" hidden="1">
      <c r="A4" s="4">
        <v>1.0</v>
      </c>
      <c r="B4" s="4" t="s">
        <v>3</v>
      </c>
    </row>
    <row r="5" hidden="1">
      <c r="A5" s="4" t="s">
        <v>4</v>
      </c>
      <c r="B5" s="8">
        <v>1.0</v>
      </c>
    </row>
    <row r="6" hidden="1">
      <c r="A6" s="4" t="s">
        <v>5</v>
      </c>
      <c r="B6" s="8">
        <v>2.0</v>
      </c>
    </row>
    <row r="7" hidden="1">
      <c r="A7" s="4" t="s">
        <v>6</v>
      </c>
      <c r="B7" s="8">
        <v>3.0</v>
      </c>
    </row>
    <row r="8" hidden="1">
      <c r="A8" s="4" t="s">
        <v>7</v>
      </c>
      <c r="B8" s="8">
        <v>4.0</v>
      </c>
    </row>
    <row r="9">
      <c r="A9" s="12" t="s">
        <v>8</v>
      </c>
    </row>
    <row r="10" ht="22.5" customHeight="1"/>
  </sheetData>
  <mergeCells count="1">
    <mergeCell ref="A9:B11"/>
  </mergeCells>
  <drawing r:id="rId1"/>
</worksheet>
</file>