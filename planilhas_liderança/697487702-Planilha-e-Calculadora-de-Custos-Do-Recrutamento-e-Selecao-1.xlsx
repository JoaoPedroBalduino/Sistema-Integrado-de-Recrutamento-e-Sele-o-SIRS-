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uysio\Desktop\MBA\"/>
    </mc:Choice>
  </mc:AlternateContent>
  <xr:revisionPtr revIDLastSave="0" documentId="13_ncr:1_{F7401694-6C63-475D-8F6C-541FD272540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ções" sheetId="1" r:id="rId1"/>
    <sheet name="Definição de Parâmetros" sheetId="2" r:id="rId2"/>
    <sheet name="Custo Detalhado por Vag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5" i="3"/>
  <c r="D5" i="2"/>
  <c r="C4" i="3" s="1"/>
  <c r="C5" i="2"/>
  <c r="C4" i="2"/>
  <c r="D4" i="2" s="1"/>
  <c r="C10" i="3" s="1"/>
  <c r="D3" i="2"/>
  <c r="C12" i="3" s="1"/>
  <c r="C3" i="2"/>
  <c r="C2" i="2"/>
  <c r="D2" i="2" s="1"/>
  <c r="C8" i="3" l="1"/>
  <c r="C2" i="3"/>
  <c r="C9" i="3"/>
  <c r="C6" i="3"/>
  <c r="C3" i="3"/>
  <c r="C7" i="3"/>
  <c r="C11" i="3"/>
  <c r="C15" i="3" l="1"/>
  <c r="E23" i="3" s="1"/>
</calcChain>
</file>

<file path=xl/sharedStrings.xml><?xml version="1.0" encoding="utf-8"?>
<sst xmlns="http://schemas.openxmlformats.org/spreadsheetml/2006/main" count="52" uniqueCount="51">
  <si>
    <t>INSTRUÇÕES</t>
  </si>
  <si>
    <t>Atenção, só preencha as células em cinza nas abas seguintes!</t>
  </si>
  <si>
    <t>Na aba "Definição de Parâmetros", defina os valores médios de salários para os cargos ali descritos bem como os investimentos diretos em divulgação, kit de boas vindas e outros. A partir daí, os demais cálculos serão feitos automaticamente.</t>
  </si>
  <si>
    <t>Na aba "Custo Detalhado por Vaga", você encontra a descrição de todos os custos envolvidos no processo de contratação e as devidas explicações das premissas utilizadas. Além disso, consegue simular quanto a sua empresa gasta por ano em recrutamento e seleção estimando o número de contratações feitas no ano.</t>
  </si>
  <si>
    <t>Profissionais envolvidos no Processo de R&amp;S</t>
  </si>
  <si>
    <t>Salário Médio</t>
  </si>
  <si>
    <t>Salário Médio Aproximado com Encargos, Férias, 13º Salário</t>
  </si>
  <si>
    <t>Valor da Hora Trabalhada Aproximada com Encargos, Férias, 13º Salário</t>
  </si>
  <si>
    <t>Gestor da Vaga</t>
  </si>
  <si>
    <t>Recrutador</t>
  </si>
  <si>
    <t>Demais Colaboradores</t>
  </si>
  <si>
    <t>Designer</t>
  </si>
  <si>
    <t>Investimentos Diretos</t>
  </si>
  <si>
    <t>Verba para Kit de Boas Vindas ao Contratado</t>
  </si>
  <si>
    <t>Verba para Divulgação da cada Vaga</t>
  </si>
  <si>
    <t>Outros Investimentos</t>
  </si>
  <si>
    <t>Etapas do Recrutamento e Seleção</t>
  </si>
  <si>
    <t>Ações Específicas das Etapas</t>
  </si>
  <si>
    <t>Custos Envolvidos</t>
  </si>
  <si>
    <t>Descrição de Custos</t>
  </si>
  <si>
    <t>Planejamento da Vaga</t>
  </si>
  <si>
    <t>Briefing Gestor da Vaga + Responsável pelo Recrutamento</t>
  </si>
  <si>
    <t>Reunião de 30 minutos entre gestor da vaga e recrutador para alinhamento de requisitos técnicos, comportamentais, dentre outros aspectos relevantes para a vaga.</t>
  </si>
  <si>
    <t>Cadastro da vaga e preenchimento de demais informações necessárias para divulgação</t>
  </si>
  <si>
    <t>1,5h do profissional de RH para preencher plataforma ou outro meio de controle e divulgação da vaga com todas as informações necessárias.</t>
  </si>
  <si>
    <t>Hora do profissional responsável pelo criativo (Arte, Vídeo, etc) para divulgação da vaga</t>
  </si>
  <si>
    <t>Hora gasta para construir criativo da vaga.</t>
  </si>
  <si>
    <t>Custos Diretos de Divulgação (Anúncios)</t>
  </si>
  <si>
    <t>Valor destinado para divulgação da vaga</t>
  </si>
  <si>
    <t>Etapas do Processo de Seleção</t>
  </si>
  <si>
    <t>Triagem de Currículos</t>
  </si>
  <si>
    <t>3 minutos gastos para cada um dos 300 currículos analisados.</t>
  </si>
  <si>
    <t>Dinâmica</t>
  </si>
  <si>
    <t>3h duração dinâmica (2 profissionais) + 1,5h Preparação Dinâmica (1 profissional)</t>
  </si>
  <si>
    <t>Desafio</t>
  </si>
  <si>
    <t>15min para correção/análise de cada um dos desafios dos 10 candidatos pelo gestor</t>
  </si>
  <si>
    <t>Entrevista com Gestor</t>
  </si>
  <si>
    <t>45min por candidato por gestor e recrutador</t>
  </si>
  <si>
    <t>Entrevista de Fit Cultural</t>
  </si>
  <si>
    <t>1h de duração de cada entrevista com pelo menos 3 colaboradores da empresa</t>
  </si>
  <si>
    <t>Proposta Salarial</t>
  </si>
  <si>
    <t>1h do recrutador para negociação</t>
  </si>
  <si>
    <t>Demais orientações e direcionamentos ao candidato contratado</t>
  </si>
  <si>
    <t>1,5h do recrutador para demais orientações ao candidato contratado</t>
  </si>
  <si>
    <t>Outros Gastos</t>
  </si>
  <si>
    <t>Kit de Boas Vindas</t>
  </si>
  <si>
    <t>Valor destinado para Kit de Boas Vindas de cada colaborador</t>
  </si>
  <si>
    <t>TOTAL POR VAGA</t>
  </si>
  <si>
    <t>ESTIMAR GASTO TOTAL ANUAL?</t>
  </si>
  <si>
    <t>Preencha o Número Aproximado de Vagas Preenchidas por ano na sua Empresa</t>
  </si>
  <si>
    <t>TOTAL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</si>
</sst>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10" x14ac:knownFonts="1">
    <font>
      <sz val="10"/>
      <color rgb="FF000000"/>
      <name val="Arial"/>
      <scheme val="minor"/>
    </font>
    <font>
      <b/>
      <sz val="32"/>
      <color rgb="FFFFFFFF"/>
      <name val="Montserrat"/>
    </font>
    <font>
      <sz val="10"/>
      <name val="Arial"/>
    </font>
    <font>
      <sz val="36"/>
      <color rgb="FFFFFFFF"/>
      <name val="Montserrat"/>
    </font>
    <font>
      <b/>
      <sz val="12"/>
      <color theme="1"/>
      <name val="Montserrat"/>
    </font>
    <font>
      <sz val="12"/>
      <color theme="1"/>
      <name val="Montserrat"/>
    </font>
    <font>
      <b/>
      <sz val="12"/>
      <color rgb="FFFFFFFF"/>
      <name val="Montserrat"/>
    </font>
    <font>
      <sz val="10"/>
      <color theme="1"/>
      <name val="Montserrat"/>
    </font>
    <font>
      <b/>
      <sz val="36"/>
      <color rgb="FFFFFFFF"/>
      <name val="Montserrat"/>
    </font>
    <font>
      <b/>
      <i/>
      <sz val="12"/>
      <color theme="1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493082"/>
        <bgColor rgb="FF493082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44">
    <border>
      <left/>
      <right/>
      <top/>
      <bottom/>
      <diagonal/>
    </border>
    <border>
      <left style="thick">
        <color rgb="FF493082"/>
      </left>
      <right/>
      <top style="thick">
        <color rgb="FF493082"/>
      </top>
      <bottom/>
      <diagonal/>
    </border>
    <border>
      <left/>
      <right/>
      <top style="thick">
        <color rgb="FF493082"/>
      </top>
      <bottom/>
      <diagonal/>
    </border>
    <border>
      <left/>
      <right style="thick">
        <color rgb="FF493082"/>
      </right>
      <top style="thick">
        <color rgb="FF493082"/>
      </top>
      <bottom/>
      <diagonal/>
    </border>
    <border>
      <left style="thick">
        <color rgb="FF493082"/>
      </left>
      <right/>
      <top/>
      <bottom/>
      <diagonal/>
    </border>
    <border>
      <left/>
      <right style="thick">
        <color rgb="FF493082"/>
      </right>
      <top/>
      <bottom/>
      <diagonal/>
    </border>
    <border>
      <left style="thick">
        <color rgb="FF493082"/>
      </left>
      <right/>
      <top style="thick">
        <color rgb="FF493082"/>
      </top>
      <bottom style="thick">
        <color rgb="FF493082"/>
      </bottom>
      <diagonal/>
    </border>
    <border>
      <left/>
      <right/>
      <top style="thick">
        <color rgb="FF493082"/>
      </top>
      <bottom style="thick">
        <color rgb="FF493082"/>
      </bottom>
      <diagonal/>
    </border>
    <border>
      <left/>
      <right style="thick">
        <color rgb="FF493082"/>
      </right>
      <top style="thick">
        <color rgb="FF493082"/>
      </top>
      <bottom style="thick">
        <color rgb="FF493082"/>
      </bottom>
      <diagonal/>
    </border>
    <border>
      <left style="thick">
        <color rgb="FF493082"/>
      </left>
      <right/>
      <top/>
      <bottom style="thin">
        <color rgb="FF493082"/>
      </bottom>
      <diagonal/>
    </border>
    <border>
      <left/>
      <right/>
      <top/>
      <bottom style="thin">
        <color rgb="FF493082"/>
      </bottom>
      <diagonal/>
    </border>
    <border>
      <left/>
      <right style="thick">
        <color rgb="FF493082"/>
      </right>
      <top/>
      <bottom style="thin">
        <color rgb="FF493082"/>
      </bottom>
      <diagonal/>
    </border>
    <border>
      <left style="thick">
        <color rgb="FF493082"/>
      </left>
      <right/>
      <top style="thin">
        <color rgb="FF493082"/>
      </top>
      <bottom style="thin">
        <color rgb="FF493082"/>
      </bottom>
      <diagonal/>
    </border>
    <border>
      <left/>
      <right/>
      <top style="thin">
        <color rgb="FF493082"/>
      </top>
      <bottom style="thin">
        <color rgb="FF493082"/>
      </bottom>
      <diagonal/>
    </border>
    <border>
      <left/>
      <right style="thick">
        <color rgb="FF493082"/>
      </right>
      <top style="thin">
        <color rgb="FF493082"/>
      </top>
      <bottom style="thin">
        <color rgb="FF493082"/>
      </bottom>
      <diagonal/>
    </border>
    <border>
      <left style="thick">
        <color rgb="FF493082"/>
      </left>
      <right/>
      <top style="thin">
        <color rgb="FF493082"/>
      </top>
      <bottom style="thick">
        <color rgb="FF493082"/>
      </bottom>
      <diagonal/>
    </border>
    <border>
      <left/>
      <right/>
      <top style="thin">
        <color rgb="FF493082"/>
      </top>
      <bottom style="thick">
        <color rgb="FF493082"/>
      </bottom>
      <diagonal/>
    </border>
    <border>
      <left/>
      <right style="thick">
        <color rgb="FF493082"/>
      </right>
      <top style="thin">
        <color rgb="FF493082"/>
      </top>
      <bottom style="thick">
        <color rgb="FF493082"/>
      </bottom>
      <diagonal/>
    </border>
    <border>
      <left style="thick">
        <color rgb="FF493082"/>
      </left>
      <right/>
      <top/>
      <bottom style="thin">
        <color rgb="FF000000"/>
      </bottom>
      <diagonal/>
    </border>
    <border>
      <left/>
      <right style="thick">
        <color rgb="FF493082"/>
      </right>
      <top/>
      <bottom style="thin">
        <color rgb="FF000000"/>
      </bottom>
      <diagonal/>
    </border>
    <border>
      <left style="thick">
        <color rgb="FF493082"/>
      </left>
      <right/>
      <top/>
      <bottom style="thick">
        <color rgb="FF493082"/>
      </bottom>
      <diagonal/>
    </border>
    <border>
      <left/>
      <right style="thick">
        <color rgb="FF493082"/>
      </right>
      <top/>
      <bottom style="thick">
        <color rgb="FF493082"/>
      </bottom>
      <diagonal/>
    </border>
    <border>
      <left style="thin">
        <color rgb="FF493082"/>
      </left>
      <right/>
      <top style="thick">
        <color rgb="FF493082"/>
      </top>
      <bottom style="thin">
        <color rgb="FF493082"/>
      </bottom>
      <diagonal/>
    </border>
    <border>
      <left/>
      <right/>
      <top style="thick">
        <color rgb="FF493082"/>
      </top>
      <bottom style="thin">
        <color rgb="FF493082"/>
      </bottom>
      <diagonal/>
    </border>
    <border>
      <left/>
      <right style="thick">
        <color rgb="FF493082"/>
      </right>
      <top style="thick">
        <color rgb="FF493082"/>
      </top>
      <bottom style="thin">
        <color rgb="FF493082"/>
      </bottom>
      <diagonal/>
    </border>
    <border>
      <left style="thin">
        <color rgb="FF493082"/>
      </left>
      <right/>
      <top style="thin">
        <color rgb="FF493082"/>
      </top>
      <bottom style="thin">
        <color rgb="FF493082"/>
      </bottom>
      <diagonal/>
    </border>
    <border>
      <left style="thin">
        <color rgb="FF493082"/>
      </left>
      <right/>
      <top style="thin">
        <color rgb="FF493082"/>
      </top>
      <bottom style="thick">
        <color rgb="FF493082"/>
      </bottom>
      <diagonal/>
    </border>
    <border>
      <left style="thin">
        <color rgb="FF493082"/>
      </left>
      <right/>
      <top style="thin">
        <color rgb="FF493082"/>
      </top>
      <bottom/>
      <diagonal/>
    </border>
    <border>
      <left/>
      <right/>
      <top style="thin">
        <color rgb="FF493082"/>
      </top>
      <bottom/>
      <diagonal/>
    </border>
    <border>
      <left/>
      <right style="thick">
        <color rgb="FF493082"/>
      </right>
      <top style="thin">
        <color rgb="FF493082"/>
      </top>
      <bottom/>
      <diagonal/>
    </border>
    <border>
      <left style="thick">
        <color rgb="FF493082"/>
      </left>
      <right/>
      <top style="thick">
        <color rgb="FF493082"/>
      </top>
      <bottom style="thin">
        <color rgb="FF493082"/>
      </bottom>
      <diagonal/>
    </border>
    <border>
      <left/>
      <right/>
      <top/>
      <bottom style="thick">
        <color rgb="FF493082"/>
      </bottom>
      <diagonal/>
    </border>
    <border>
      <left style="thick">
        <color rgb="FFEA4335"/>
      </left>
      <right/>
      <top style="thick">
        <color rgb="FFEA4335"/>
      </top>
      <bottom/>
      <diagonal/>
    </border>
    <border>
      <left/>
      <right/>
      <top style="thick">
        <color rgb="FFEA4335"/>
      </top>
      <bottom/>
      <diagonal/>
    </border>
    <border>
      <left/>
      <right style="thick">
        <color rgb="FFEA4335"/>
      </right>
      <top style="thick">
        <color rgb="FFEA4335"/>
      </top>
      <bottom/>
      <diagonal/>
    </border>
    <border>
      <left style="thick">
        <color rgb="FFEA4335"/>
      </left>
      <right/>
      <top/>
      <bottom/>
      <diagonal/>
    </border>
    <border>
      <left/>
      <right style="thick">
        <color rgb="FFEA4335"/>
      </right>
      <top/>
      <bottom/>
      <diagonal/>
    </border>
    <border>
      <left style="thick">
        <color rgb="FFEA4335"/>
      </left>
      <right/>
      <top/>
      <bottom style="thick">
        <color rgb="FFEA4335"/>
      </bottom>
      <diagonal/>
    </border>
    <border>
      <left/>
      <right/>
      <top/>
      <bottom style="thick">
        <color rgb="FFEA4335"/>
      </bottom>
      <diagonal/>
    </border>
    <border>
      <left/>
      <right style="thick">
        <color rgb="FFEA4335"/>
      </right>
      <top/>
      <bottom style="thick">
        <color rgb="FFEA4335"/>
      </bottom>
      <diagonal/>
    </border>
    <border>
      <left style="thick">
        <color rgb="FFEA4335"/>
      </left>
      <right/>
      <top style="thick">
        <color rgb="FFEA4335"/>
      </top>
      <bottom style="thick">
        <color rgb="FFEA4335"/>
      </bottom>
      <diagonal/>
    </border>
    <border>
      <left/>
      <right/>
      <top style="thick">
        <color rgb="FFEA4335"/>
      </top>
      <bottom style="thick">
        <color rgb="FFEA4335"/>
      </bottom>
      <diagonal/>
    </border>
    <border>
      <left/>
      <right style="thick">
        <color rgb="FFEA4335"/>
      </right>
      <top style="thick">
        <color rgb="FFEA4335"/>
      </top>
      <bottom style="thick">
        <color rgb="FFEA4335"/>
      </bottom>
      <diagonal/>
    </border>
    <border>
      <left style="thick">
        <color rgb="FFEA4335"/>
      </left>
      <right style="thick">
        <color rgb="FFEA4335"/>
      </right>
      <top style="thick">
        <color rgb="FFEA4335"/>
      </top>
      <bottom style="thick">
        <color rgb="FFEA4335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 wrapText="1"/>
    </xf>
    <xf numFmtId="164" fontId="7" fillId="6" borderId="10" xfId="0" applyNumberFormat="1" applyFont="1" applyFill="1" applyBorder="1" applyAlignment="1">
      <alignment horizontal="center" vertical="center" wrapText="1"/>
    </xf>
    <xf numFmtId="164" fontId="7" fillId="6" borderId="11" xfId="0" applyNumberFormat="1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164" fontId="7" fillId="6" borderId="13" xfId="0" applyNumberFormat="1" applyFont="1" applyFill="1" applyBorder="1" applyAlignment="1">
      <alignment horizontal="center" vertical="center" wrapText="1"/>
    </xf>
    <xf numFmtId="164" fontId="7" fillId="6" borderId="14" xfId="0" applyNumberFormat="1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164" fontId="7" fillId="6" borderId="16" xfId="0" applyNumberFormat="1" applyFont="1" applyFill="1" applyBorder="1" applyAlignment="1">
      <alignment horizontal="center" vertical="center" wrapText="1"/>
    </xf>
    <xf numFmtId="164" fontId="7" fillId="6" borderId="17" xfId="0" applyNumberFormat="1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164" fontId="7" fillId="7" borderId="19" xfId="0" applyNumberFormat="1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164" fontId="7" fillId="7" borderId="2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6" borderId="22" xfId="0" applyFont="1" applyFill="1" applyBorder="1" applyAlignment="1">
      <alignment horizontal="center" vertical="center" wrapText="1"/>
    </xf>
    <xf numFmtId="164" fontId="7" fillId="6" borderId="23" xfId="0" applyNumberFormat="1" applyFont="1" applyFill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/>
    </xf>
    <xf numFmtId="164" fontId="7" fillId="6" borderId="28" xfId="0" applyNumberFormat="1" applyFont="1" applyFill="1" applyBorder="1" applyAlignment="1">
      <alignment horizontal="center" vertical="center" wrapText="1"/>
    </xf>
    <xf numFmtId="0" fontId="7" fillId="6" borderId="30" xfId="0" applyFont="1" applyFill="1" applyBorder="1" applyAlignment="1">
      <alignment horizontal="center" vertical="center" wrapText="1"/>
    </xf>
    <xf numFmtId="164" fontId="7" fillId="6" borderId="23" xfId="0" applyNumberFormat="1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9" fillId="8" borderId="4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/>
    <xf numFmtId="0" fontId="2" fillId="0" borderId="5" xfId="0" applyFont="1" applyBorder="1"/>
    <xf numFmtId="0" fontId="5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7" fillId="6" borderId="0" xfId="0" applyFont="1" applyFill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7" fillId="6" borderId="23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2" fillId="0" borderId="24" xfId="0" applyFont="1" applyBorder="1"/>
    <xf numFmtId="0" fontId="7" fillId="6" borderId="13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4" fillId="6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20" xfId="0" applyFont="1" applyBorder="1"/>
    <xf numFmtId="0" fontId="8" fillId="2" borderId="4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7" fillId="6" borderId="16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164" fontId="8" fillId="2" borderId="0" xfId="0" applyNumberFormat="1" applyFont="1" applyFill="1" applyAlignment="1">
      <alignment horizontal="center" vertical="center" wrapText="1"/>
    </xf>
    <xf numFmtId="0" fontId="2" fillId="0" borderId="21" xfId="0" applyFont="1" applyBorder="1"/>
    <xf numFmtId="0" fontId="8" fillId="3" borderId="32" xfId="0" applyFont="1" applyFill="1" applyBorder="1" applyAlignment="1">
      <alignment horizontal="center" vertical="center" wrapText="1"/>
    </xf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/>
    <xf numFmtId="0" fontId="9" fillId="6" borderId="40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2" fillId="0" borderId="42" xfId="0" applyFont="1" applyBorder="1"/>
    <xf numFmtId="0" fontId="8" fillId="3" borderId="0" xfId="0" applyFont="1" applyFill="1" applyAlignment="1">
      <alignment horizontal="center" vertical="center" wrapText="1"/>
    </xf>
    <xf numFmtId="164" fontId="8" fillId="3" borderId="0" xfId="0" applyNumberFormat="1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2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"/>
  <sheetViews>
    <sheetView showGridLines="0" workbookViewId="0">
      <selection activeCell="B4" sqref="B4:J4"/>
    </sheetView>
  </sheetViews>
  <sheetFormatPr defaultColWidth="12.5703125" defaultRowHeight="15.75" customHeight="1" x14ac:dyDescent="0.2"/>
  <sheetData>
    <row r="1" spans="1:10" ht="82.5" customHeight="1" x14ac:dyDescent="0.2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1"/>
    </row>
    <row r="2" spans="1:10" ht="57.75" customHeight="1" x14ac:dyDescent="0.2">
      <c r="A2" s="1">
        <v>1</v>
      </c>
      <c r="B2" s="35" t="s">
        <v>1</v>
      </c>
      <c r="C2" s="36"/>
      <c r="D2" s="36"/>
      <c r="E2" s="36"/>
      <c r="F2" s="36"/>
      <c r="G2" s="36"/>
      <c r="H2" s="36"/>
      <c r="I2" s="36"/>
      <c r="J2" s="37"/>
    </row>
    <row r="3" spans="1:10" ht="83.25" customHeight="1" x14ac:dyDescent="0.2">
      <c r="A3" s="2">
        <v>2</v>
      </c>
      <c r="B3" s="38" t="s">
        <v>2</v>
      </c>
      <c r="C3" s="36"/>
      <c r="D3" s="36"/>
      <c r="E3" s="36"/>
      <c r="F3" s="36"/>
      <c r="G3" s="36"/>
      <c r="H3" s="36"/>
      <c r="I3" s="36"/>
      <c r="J3" s="37"/>
    </row>
    <row r="4" spans="1:10" ht="120" customHeight="1" x14ac:dyDescent="0.2">
      <c r="A4" s="3">
        <v>3</v>
      </c>
      <c r="B4" s="38" t="s">
        <v>3</v>
      </c>
      <c r="C4" s="36"/>
      <c r="D4" s="36"/>
      <c r="E4" s="36"/>
      <c r="F4" s="36"/>
      <c r="G4" s="36"/>
      <c r="H4" s="36"/>
      <c r="I4" s="36"/>
      <c r="J4" s="37"/>
    </row>
  </sheetData>
  <mergeCells count="4">
    <mergeCell ref="B2:J2"/>
    <mergeCell ref="B3:J3"/>
    <mergeCell ref="B4:J4"/>
    <mergeCell ref="A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showGridLines="0" workbookViewId="0"/>
  </sheetViews>
  <sheetFormatPr defaultColWidth="12.5703125" defaultRowHeight="15.75" customHeight="1" x14ac:dyDescent="0.2"/>
  <cols>
    <col min="1" max="1" width="41.5703125" customWidth="1"/>
    <col min="2" max="2" width="27.7109375" customWidth="1"/>
    <col min="3" max="3" width="19.85546875" customWidth="1"/>
    <col min="4" max="4" width="29" customWidth="1"/>
  </cols>
  <sheetData>
    <row r="1" spans="1:4" x14ac:dyDescent="0.2">
      <c r="A1" s="4" t="s">
        <v>4</v>
      </c>
      <c r="B1" s="5" t="s">
        <v>5</v>
      </c>
      <c r="C1" s="5" t="s">
        <v>6</v>
      </c>
      <c r="D1" s="6" t="s">
        <v>7</v>
      </c>
    </row>
    <row r="2" spans="1:4" ht="27" customHeight="1" x14ac:dyDescent="0.2">
      <c r="A2" s="7" t="s">
        <v>8</v>
      </c>
      <c r="B2" s="8">
        <v>1400</v>
      </c>
      <c r="C2" s="9">
        <f t="shared" ref="C2:C5" si="0">1.7*B2</f>
        <v>2380</v>
      </c>
      <c r="D2" s="10">
        <f t="shared" ref="D2:D5" si="1">C2/220</f>
        <v>10.818181818181818</v>
      </c>
    </row>
    <row r="3" spans="1:4" ht="37.5" customHeight="1" x14ac:dyDescent="0.2">
      <c r="A3" s="11" t="s">
        <v>9</v>
      </c>
      <c r="B3" s="8">
        <v>1400</v>
      </c>
      <c r="C3" s="12">
        <f t="shared" si="0"/>
        <v>2380</v>
      </c>
      <c r="D3" s="13">
        <f t="shared" si="1"/>
        <v>10.818181818181818</v>
      </c>
    </row>
    <row r="4" spans="1:4" ht="40.5" customHeight="1" x14ac:dyDescent="0.2">
      <c r="A4" s="11" t="s">
        <v>10</v>
      </c>
      <c r="B4" s="8">
        <v>1400</v>
      </c>
      <c r="C4" s="12">
        <f t="shared" si="0"/>
        <v>2380</v>
      </c>
      <c r="D4" s="13">
        <f t="shared" si="1"/>
        <v>10.818181818181818</v>
      </c>
    </row>
    <row r="5" spans="1:4" ht="34.5" customHeight="1" x14ac:dyDescent="0.2">
      <c r="A5" s="14" t="s">
        <v>11</v>
      </c>
      <c r="B5" s="8">
        <v>1400</v>
      </c>
      <c r="C5" s="15">
        <f t="shared" si="0"/>
        <v>2380</v>
      </c>
      <c r="D5" s="16">
        <f t="shared" si="1"/>
        <v>10.818181818181818</v>
      </c>
    </row>
    <row r="6" spans="1:4" ht="42.75" customHeight="1" x14ac:dyDescent="0.2">
      <c r="A6" s="17"/>
      <c r="B6" s="17"/>
      <c r="C6" s="17"/>
      <c r="D6" s="42"/>
    </row>
    <row r="7" spans="1:4" ht="34.5" customHeight="1" x14ac:dyDescent="0.2">
      <c r="A7" s="43" t="s">
        <v>12</v>
      </c>
      <c r="B7" s="44"/>
      <c r="C7" s="17"/>
      <c r="D7" s="36"/>
    </row>
    <row r="8" spans="1:4" ht="34.5" customHeight="1" x14ac:dyDescent="0.2">
      <c r="A8" s="18" t="s">
        <v>13</v>
      </c>
      <c r="B8" s="19">
        <v>50</v>
      </c>
      <c r="C8" s="17"/>
      <c r="D8" s="36"/>
    </row>
    <row r="9" spans="1:4" ht="43.5" customHeight="1" x14ac:dyDescent="0.2">
      <c r="A9" s="18" t="s">
        <v>14</v>
      </c>
      <c r="B9" s="19">
        <v>10</v>
      </c>
      <c r="C9" s="17"/>
      <c r="D9" s="36"/>
    </row>
    <row r="10" spans="1:4" ht="44.25" customHeight="1" x14ac:dyDescent="0.2">
      <c r="A10" s="20" t="s">
        <v>15</v>
      </c>
      <c r="B10" s="21">
        <v>40</v>
      </c>
      <c r="C10" s="17"/>
      <c r="D10" s="36"/>
    </row>
  </sheetData>
  <mergeCells count="2">
    <mergeCell ref="D6:D10"/>
    <mergeCell ref="A7:B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3"/>
  <sheetViews>
    <sheetView showGridLines="0" tabSelected="1" topLeftCell="A7" workbookViewId="0"/>
  </sheetViews>
  <sheetFormatPr defaultColWidth="12.5703125" defaultRowHeight="15.75" customHeight="1" x14ac:dyDescent="0.2"/>
  <cols>
    <col min="1" max="1" width="28.28515625" customWidth="1"/>
    <col min="2" max="2" width="41.5703125" customWidth="1"/>
    <col min="3" max="3" width="27.7109375" customWidth="1"/>
    <col min="4" max="4" width="15.7109375" customWidth="1"/>
    <col min="5" max="5" width="17.85546875" customWidth="1"/>
    <col min="6" max="6" width="25.28515625" customWidth="1"/>
  </cols>
  <sheetData>
    <row r="1" spans="1:6" ht="56.25" x14ac:dyDescent="0.2">
      <c r="A1" s="22" t="s">
        <v>16</v>
      </c>
      <c r="B1" s="23" t="s">
        <v>17</v>
      </c>
      <c r="C1" s="23" t="s">
        <v>18</v>
      </c>
      <c r="D1" s="74" t="s">
        <v>19</v>
      </c>
      <c r="E1" s="40"/>
      <c r="F1" s="41"/>
    </row>
    <row r="2" spans="1:6" ht="37.5" customHeight="1" x14ac:dyDescent="0.2">
      <c r="A2" s="51" t="s">
        <v>20</v>
      </c>
      <c r="B2" s="24" t="s">
        <v>21</v>
      </c>
      <c r="C2" s="25">
        <f>0.5*'Definição de Parâmetros'!D2+0.5*'Definição de Parâmetros'!D3</f>
        <v>10.818181818181818</v>
      </c>
      <c r="D2" s="45" t="s">
        <v>22</v>
      </c>
      <c r="E2" s="46"/>
      <c r="F2" s="47"/>
    </row>
    <row r="3" spans="1:6" ht="37.5" customHeight="1" x14ac:dyDescent="0.2">
      <c r="A3" s="52"/>
      <c r="B3" s="26" t="s">
        <v>23</v>
      </c>
      <c r="C3" s="12">
        <f>1.5*'Definição de Parâmetros'!D3</f>
        <v>16.227272727272727</v>
      </c>
      <c r="D3" s="48" t="s">
        <v>24</v>
      </c>
      <c r="E3" s="49"/>
      <c r="F3" s="50"/>
    </row>
    <row r="4" spans="1:6" ht="37.5" customHeight="1" x14ac:dyDescent="0.2">
      <c r="A4" s="52"/>
      <c r="B4" s="26" t="s">
        <v>25</v>
      </c>
      <c r="C4" s="12">
        <f>1*'Definição de Parâmetros'!D5</f>
        <v>10.818181818181818</v>
      </c>
      <c r="D4" s="48" t="s">
        <v>26</v>
      </c>
      <c r="E4" s="49"/>
      <c r="F4" s="50"/>
    </row>
    <row r="5" spans="1:6" ht="37.5" customHeight="1" x14ac:dyDescent="0.2">
      <c r="A5" s="53"/>
      <c r="B5" s="27" t="s">
        <v>27</v>
      </c>
      <c r="C5" s="15">
        <f>'Definição de Parâmetros'!B10</f>
        <v>40</v>
      </c>
      <c r="D5" s="56" t="s">
        <v>28</v>
      </c>
      <c r="E5" s="57"/>
      <c r="F5" s="58"/>
    </row>
    <row r="6" spans="1:6" ht="30" customHeight="1" x14ac:dyDescent="0.2">
      <c r="A6" s="51" t="s">
        <v>29</v>
      </c>
      <c r="B6" s="24" t="s">
        <v>30</v>
      </c>
      <c r="C6" s="25">
        <f>300*(3/60)*'Definição de Parâmetros'!D3</f>
        <v>162.27272727272728</v>
      </c>
      <c r="D6" s="45" t="s">
        <v>31</v>
      </c>
      <c r="E6" s="46"/>
      <c r="F6" s="47"/>
    </row>
    <row r="7" spans="1:6" ht="30" customHeight="1" x14ac:dyDescent="0.2">
      <c r="A7" s="52"/>
      <c r="B7" s="26" t="s">
        <v>32</v>
      </c>
      <c r="C7" s="12">
        <f>3*'Definição de Parâmetros'!D3*2+1.5*'Definição de Parâmetros'!D3</f>
        <v>81.136363636363626</v>
      </c>
      <c r="D7" s="48" t="s">
        <v>33</v>
      </c>
      <c r="E7" s="49"/>
      <c r="F7" s="50"/>
    </row>
    <row r="8" spans="1:6" ht="30" customHeight="1" x14ac:dyDescent="0.2">
      <c r="A8" s="52"/>
      <c r="B8" s="26" t="s">
        <v>34</v>
      </c>
      <c r="C8" s="12">
        <f>0.25*10*'Definição de Parâmetros'!D2</f>
        <v>27.045454545454547</v>
      </c>
      <c r="D8" s="48" t="s">
        <v>35</v>
      </c>
      <c r="E8" s="49"/>
      <c r="F8" s="50"/>
    </row>
    <row r="9" spans="1:6" ht="30" customHeight="1" x14ac:dyDescent="0.2">
      <c r="A9" s="52"/>
      <c r="B9" s="26" t="s">
        <v>36</v>
      </c>
      <c r="C9" s="12">
        <f>0.75*5*'Definição de Parâmetros'!D2+0.75*5*'Definição de Parâmetros'!D3</f>
        <v>81.13636363636364</v>
      </c>
      <c r="D9" s="48" t="s">
        <v>37</v>
      </c>
      <c r="E9" s="49"/>
      <c r="F9" s="50"/>
    </row>
    <row r="10" spans="1:6" ht="30" customHeight="1" x14ac:dyDescent="0.2">
      <c r="A10" s="52"/>
      <c r="B10" s="26" t="s">
        <v>38</v>
      </c>
      <c r="C10" s="12">
        <f>3*3*1*'Definição de Parâmetros'!D4</f>
        <v>97.36363636363636</v>
      </c>
      <c r="D10" s="48" t="s">
        <v>39</v>
      </c>
      <c r="E10" s="49"/>
      <c r="F10" s="50"/>
    </row>
    <row r="11" spans="1:6" ht="30" customHeight="1" x14ac:dyDescent="0.2">
      <c r="A11" s="52"/>
      <c r="B11" s="26" t="s">
        <v>40</v>
      </c>
      <c r="C11" s="12">
        <f>1*'Definição de Parâmetros'!D3</f>
        <v>10.818181818181818</v>
      </c>
      <c r="D11" s="48" t="s">
        <v>41</v>
      </c>
      <c r="E11" s="49"/>
      <c r="F11" s="50"/>
    </row>
    <row r="12" spans="1:6" ht="30" customHeight="1" x14ac:dyDescent="0.2">
      <c r="A12" s="53"/>
      <c r="B12" s="28" t="s">
        <v>42</v>
      </c>
      <c r="C12" s="29">
        <f>1.5*'Definição de Parâmetros'!D3</f>
        <v>16.227272727272727</v>
      </c>
      <c r="D12" s="75" t="s">
        <v>43</v>
      </c>
      <c r="E12" s="76"/>
      <c r="F12" s="77"/>
    </row>
    <row r="13" spans="1:6" ht="15" x14ac:dyDescent="0.2">
      <c r="A13" s="51" t="s">
        <v>44</v>
      </c>
      <c r="B13" s="30" t="s">
        <v>45</v>
      </c>
      <c r="C13" s="31">
        <f>'Definição de Parâmetros'!B8</f>
        <v>50</v>
      </c>
      <c r="D13" s="45" t="s">
        <v>46</v>
      </c>
      <c r="E13" s="46"/>
      <c r="F13" s="47"/>
    </row>
    <row r="14" spans="1:6" ht="15" x14ac:dyDescent="0.2">
      <c r="A14" s="53"/>
      <c r="B14" s="14" t="s">
        <v>15</v>
      </c>
      <c r="C14" s="32"/>
      <c r="D14" s="56"/>
      <c r="E14" s="57"/>
      <c r="F14" s="58"/>
    </row>
    <row r="15" spans="1:6" ht="12.75" x14ac:dyDescent="0.2">
      <c r="A15" s="54" t="s">
        <v>47</v>
      </c>
      <c r="B15" s="36"/>
      <c r="C15" s="59">
        <f>SUM(C2:C14)</f>
        <v>603.86363636363637</v>
      </c>
      <c r="D15" s="36"/>
      <c r="E15" s="36"/>
      <c r="F15" s="37"/>
    </row>
    <row r="16" spans="1:6" ht="12.75" x14ac:dyDescent="0.2">
      <c r="A16" s="52"/>
      <c r="B16" s="36"/>
      <c r="C16" s="36"/>
      <c r="D16" s="36"/>
      <c r="E16" s="36"/>
      <c r="F16" s="37"/>
    </row>
    <row r="17" spans="1:6" ht="12.75" x14ac:dyDescent="0.2">
      <c r="A17" s="53"/>
      <c r="B17" s="55"/>
      <c r="C17" s="55"/>
      <c r="D17" s="55"/>
      <c r="E17" s="55"/>
      <c r="F17" s="60"/>
    </row>
    <row r="18" spans="1:6" ht="15" x14ac:dyDescent="0.2">
      <c r="A18" s="33"/>
      <c r="B18" s="33"/>
      <c r="C18" s="33"/>
      <c r="D18" s="33"/>
      <c r="E18" s="33"/>
      <c r="F18" s="33"/>
    </row>
    <row r="19" spans="1:6" ht="12.75" x14ac:dyDescent="0.2">
      <c r="A19" s="61" t="s">
        <v>48</v>
      </c>
      <c r="B19" s="62"/>
      <c r="C19" s="62"/>
      <c r="D19" s="62"/>
      <c r="E19" s="62"/>
      <c r="F19" s="63"/>
    </row>
    <row r="20" spans="1:6" ht="12.75" x14ac:dyDescent="0.2">
      <c r="A20" s="64"/>
      <c r="B20" s="36"/>
      <c r="C20" s="36"/>
      <c r="D20" s="36"/>
      <c r="E20" s="36"/>
      <c r="F20" s="65"/>
    </row>
    <row r="21" spans="1:6" ht="12.75" x14ac:dyDescent="0.2">
      <c r="A21" s="66"/>
      <c r="B21" s="67"/>
      <c r="C21" s="67"/>
      <c r="D21" s="67"/>
      <c r="E21" s="67"/>
      <c r="F21" s="68"/>
    </row>
    <row r="22" spans="1:6" ht="25.5" customHeight="1" x14ac:dyDescent="0.2">
      <c r="A22" s="69" t="s">
        <v>49</v>
      </c>
      <c r="B22" s="70"/>
      <c r="C22" s="70"/>
      <c r="D22" s="70"/>
      <c r="E22" s="71"/>
      <c r="F22" s="34">
        <v>20</v>
      </c>
    </row>
    <row r="23" spans="1:6" ht="51.75" customHeight="1" x14ac:dyDescent="0.2">
      <c r="A23" s="72" t="s">
        <v>50</v>
      </c>
      <c r="B23" s="36"/>
      <c r="C23" s="36"/>
      <c r="D23" s="36"/>
      <c r="E23" s="73">
        <f>F22*C15</f>
        <v>12077.272727272728</v>
      </c>
      <c r="F23" s="36"/>
    </row>
  </sheetData>
  <mergeCells count="23">
    <mergeCell ref="A19:F21"/>
    <mergeCell ref="A22:E22"/>
    <mergeCell ref="A23:D23"/>
    <mergeCell ref="E23:F23"/>
    <mergeCell ref="D1:F1"/>
    <mergeCell ref="A2:A5"/>
    <mergeCell ref="D2:F2"/>
    <mergeCell ref="D3:F3"/>
    <mergeCell ref="D4:F4"/>
    <mergeCell ref="D5:F5"/>
    <mergeCell ref="D12:F12"/>
    <mergeCell ref="D11:F11"/>
    <mergeCell ref="A6:A12"/>
    <mergeCell ref="A13:A14"/>
    <mergeCell ref="A15:B17"/>
    <mergeCell ref="D13:F13"/>
    <mergeCell ref="D14:F14"/>
    <mergeCell ref="C15:F17"/>
    <mergeCell ref="D6:F6"/>
    <mergeCell ref="D7:F7"/>
    <mergeCell ref="D8:F8"/>
    <mergeCell ref="D9:F9"/>
    <mergeCell ref="D10:F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Definição de Parâmetros</vt:lpstr>
      <vt:lpstr>Custo Detalhado por Vaga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Aluysio</cp:lastModifiedBy>
  <dcterms:modified xsi:type="dcterms:W3CDTF">2024-11-05T03:24:58Z</dcterms:modified>
</cp:coreProperties>
</file>